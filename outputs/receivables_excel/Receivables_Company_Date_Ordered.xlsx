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5b9648b5b149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y Summary" sheetId="1" r:id="Rf9b5499d63f24fae"/>
    <x:sheet xmlns:r="http://schemas.openxmlformats.org/officeDocument/2006/relationships" name="Bill Details" sheetId="2" r:id="Rf2bb298381c64fa8"/>
    <x:sheet xmlns:r="http://schemas.openxmlformats.org/officeDocument/2006/relationships" name="Date Wise" sheetId="3" r:id="R7a16571581044810"/>
    <x:sheet xmlns:r="http://schemas.openxmlformats.org/officeDocument/2006/relationships" name="Checks" sheetId="4" r:id="R5a720742b224407e"/>
    <x:sheet xmlns:r="http://schemas.openxmlformats.org/officeDocument/2006/relationships" name="Source Notes" sheetId="5" r:id="R714f972e6cc946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[$₹-en-IN]#,##0.00;[Red]([$₹-en-IN]#,##0.00);-"/>
    <x:numFmt numFmtId="202" formatCode="[$₹-en-IN]#,##0.0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66708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EAF4F4"/>
      </x:patternFill>
    </x:fill>
    <x:fill>
      <x:patternFill patternType="solid">
        <x:fgColor rgb="FFE2F0D9"/>
      </x:patternFill>
    </x:fill>
  </x:fills>
  <x:borders count="7">
    <x:border/>
    <x:border>
      <x:left style="thin">
        <x:color rgb="FFB8C4CE"/>
      </x:left>
      <x:top style="thin">
        <x:color rgb="FFB8C4CE"/>
      </x:top>
      <x:bottom style="thin">
        <x:color rgb="FFB8C4CE"/>
      </x:bottom>
    </x:border>
    <x:border>
      <x:top style="thin">
        <x:color rgb="FFB8C4CE"/>
      </x:top>
      <x:bottom style="thin">
        <x:color rgb="FFB8C4CE"/>
      </x:bottom>
    </x:border>
    <x:border>
      <x:right style="thin">
        <x:color rgb="FFB8C4CE"/>
      </x:right>
      <x:top style="thin">
        <x:color rgb="FFB8C4CE"/>
      </x:top>
      <x:bottom style="thin">
        <x:color rgb="FFB8C4CE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202" fontId="0" fillId="0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fcb2321ddf44f1" /><Relationship Type="http://schemas.openxmlformats.org/officeDocument/2006/relationships/theme" Target="/xl/theme/theme1.xml" Id="Reb88846aae8949e6" /><Relationship Type="http://schemas.openxmlformats.org/officeDocument/2006/relationships/sharedStrings" Target="/xl/sharedStrings.xml" Id="R8f44878197a34c42" /><Relationship Type="http://schemas.openxmlformats.org/officeDocument/2006/relationships/worksheet" Target="/xl/worksheets/sheet1.xml" Id="Rf9b5499d63f24fae" /><Relationship Type="http://schemas.openxmlformats.org/officeDocument/2006/relationships/worksheet" Target="/xl/worksheets/sheet2.xml" Id="Rf2bb298381c64fa8" /><Relationship Type="http://schemas.openxmlformats.org/officeDocument/2006/relationships/worksheet" Target="/xl/worksheets/sheet3.xml" Id="R7a16571581044810" /><Relationship Type="http://schemas.openxmlformats.org/officeDocument/2006/relationships/worksheet" Target="/xl/worksheets/sheet4.xml" Id="R5a720742b224407e" /><Relationship Type="http://schemas.openxmlformats.org/officeDocument/2006/relationships/worksheet" Target="/xl/worksheets/sheet5.xml" Id="R714f972e6cc946ec" /></Relationships>
</file>

<file path=xl/tables/table1.xml><?xml version="1.0" encoding="utf-8"?>
<x:table xmlns:x="http://schemas.openxmlformats.org/spreadsheetml/2006/main" id="1" name="CompanySummaryTable" displayName="CompanySummaryTable" ref="A5:E134" headerRowCount="1" totalsRowCount="0" totalsRowShown="0">
  <x:tableColumns count="5">
    <x:tableColumn id="1" name="Company"/>
    <x:tableColumn id="2" name="Bill Count"/>
    <x:tableColumn id="3" name="Total Receivable"/>
    <x:tableColumn id="4" name="Oldest Due Date"/>
    <x:tableColumn id="5" name="Max Days Since D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illDetailsTable" displayName="BillDetailsTable" ref="A4:G563" headerRowCount="1" totalsRowCount="0" totalsRowShown="0">
  <x:tableColumns count="7">
    <x:tableColumn id="1" name="Company"/>
    <x:tableColumn id="2" name="Bill Number"/>
    <x:tableColumn id="3" name="Bill Date"/>
    <x:tableColumn id="4" name="Bill Value"/>
    <x:tableColumn id="5" name="Due Date"/>
    <x:tableColumn id="6" name="Days Since Due"/>
    <x:tableColumn id="7" name="Company Tot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eWiseTable" displayName="DateWiseTable" ref="A4:G563" headerRowCount="1" totalsRowCount="0" totalsRowShown="0">
  <x:tableColumns count="7">
    <x:tableColumn id="1" name="Bill Date"/>
    <x:tableColumn id="2" name="Company"/>
    <x:tableColumn id="3" name="Bill Number"/>
    <x:tableColumn id="4" name="Bill Value"/>
    <x:tableColumn id="5" name="Due Date"/>
    <x:tableColumn id="6" name="Days Since Due"/>
    <x:tableColumn id="7" name="Company 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8a18426cba4f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bbeac296ff340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e1146ad840c4f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2" hidden="0" customWidth="1"/>
    <x:col min="3" max="3" width="20" hidden="0" customWidth="1"/>
    <x:col min="4" max="4" width="18" hidden="0" customWidth="1"/>
    <x:col min="5" max="5" width="18" hidden="0" customWidth="1"/>
  </x:cols>
  <x:sheetData>
    <x:row r="1" ht="34" customHeight="1">
      <x:c r="A1" s="3" t="str">
        <x:v>Receivables by Company - Oldest Due First</x:v>
      </x:c>
      <x:c r="B1" s="3"/>
      <x:c r="C1" s="3"/>
      <x:c r="D1" s="3"/>
      <x:c r="E1" s="3"/>
    </x:row>
    <x:row r="2">
      <x:c r="A2" s="5" t="str">
        <x:v>Live aging date</x:v>
      </x:c>
      <x:c r="B2" s="5"/>
      <x:c r="C2" s="5" t="str">
        <x:v>Grand total</x:v>
      </x:c>
      <x:c r="D2" s="5"/>
      <x:c r="E2" s="5" t="str">
        <x:v>Total bills</x:v>
      </x:c>
    </x:row>
    <x:row r="3">
      <x:c r="A3" s="6" t="n">
        <x:f>TODAY()</x:f>
        <x:v>46235</x:v>
      </x:c>
      <x:c r="C3" s="7" t="n">
        <x:f>SUM('Bill Details'!$D$5:$D$563)</x:f>
        <x:v>4114814</x:v>
      </x:c>
      <x:c r="E3" t="n">
        <x:f>COUNTA('Bill Details'!$B$5:$B$563)</x:f>
        <x:v>559</x:v>
      </x:c>
    </x:row>
    <x:row r="5">
      <x:c r="A5" s="16" t="str">
        <x:v>Company</x:v>
      </x:c>
      <x:c r="B5" s="17" t="str">
        <x:v>Bill Count</x:v>
      </x:c>
      <x:c r="C5" s="17" t="str">
        <x:v>Total Receivable</x:v>
      </x:c>
      <x:c r="D5" s="17" t="str">
        <x:v>Oldest Due Date</x:v>
      </x:c>
      <x:c r="E5" s="18" t="str">
        <x:v>Max Days Since Due</x:v>
      </x:c>
    </x:row>
    <x:row r="6">
      <x:c r="A6" s="19" t="str">
        <x:v>Hatimi Enterprise</x:v>
      </x:c>
      <x:c r="B6" s="19" t="n">
        <x:f>COUNTIF('Bill Details'!$A$5:$A$563,A6)</x:f>
        <x:v>11</x:v>
      </x:c>
      <x:c r="C6" s="22" t="n">
        <x:f>SUMIF('Bill Details'!$A$5:$A$563,A6,'Bill Details'!$D$5:$D$563)</x:f>
        <x:v>117780</x:v>
      </x:c>
      <x:c r="D6" s="25" t="n">
        <x:f>INDEX('Bill Details'!$E$5:$E$563,MATCH(A6,'Bill Details'!$A$5:$A$563,0))</x:f>
        <x:v>45713</x:v>
      </x:c>
      <x:c r="E6" s="19" t="n">
        <x:f>TODAY()-D6</x:f>
        <x:v>522</x:v>
      </x:c>
    </x:row>
    <x:row r="7">
      <x:c r="A7" s="20" t="str">
        <x:v>Selvakumar Pipes &amp; Fittings Company</x:v>
      </x:c>
      <x:c r="B7" s="20" t="n">
        <x:f>COUNTIF('Bill Details'!$A$5:$A$563,A7)</x:f>
        <x:v>8</x:v>
      </x:c>
      <x:c r="C7" s="23" t="n">
        <x:f>SUMIF('Bill Details'!$A$5:$A$563,A7,'Bill Details'!$D$5:$D$563)</x:f>
        <x:v>23709</x:v>
      </x:c>
      <x:c r="D7" s="26" t="n">
        <x:f>INDEX('Bill Details'!$E$5:$E$563,MATCH(A7,'Bill Details'!$A$5:$A$563,0))</x:f>
        <x:v>45831</x:v>
      </x:c>
      <x:c r="E7" s="20" t="n">
        <x:f>TODAY()-D7</x:f>
        <x:v>404</x:v>
      </x:c>
    </x:row>
    <x:row r="8">
      <x:c r="A8" s="20" t="str">
        <x:v>Quadari Enterprises</x:v>
      </x:c>
      <x:c r="B8" s="20" t="n">
        <x:f>COUNTIF('Bill Details'!$A$5:$A$563,A8)</x:f>
        <x:v>15</x:v>
      </x:c>
      <x:c r="C8" s="23" t="n">
        <x:f>SUMIF('Bill Details'!$A$5:$A$563,A8,'Bill Details'!$D$5:$D$563)</x:f>
        <x:v>58985</x:v>
      </x:c>
      <x:c r="D8" s="26" t="n">
        <x:f>INDEX('Bill Details'!$E$5:$E$563,MATCH(A8,'Bill Details'!$A$5:$A$563,0))</x:f>
        <x:v>45860</x:v>
      </x:c>
      <x:c r="E8" s="20" t="n">
        <x:f>TODAY()-D8</x:f>
        <x:v>375</x:v>
      </x:c>
    </x:row>
    <x:row r="9">
      <x:c r="A9" s="20" t="str">
        <x:v>V Guard Industries Ltd (EMW)</x:v>
      </x:c>
      <x:c r="B9" s="20" t="n">
        <x:f>COUNTIF('Bill Details'!$A$5:$A$563,A9)</x:f>
        <x:v>15</x:v>
      </x:c>
      <x:c r="C9" s="23" t="n">
        <x:f>SUMIF('Bill Details'!$A$5:$A$563,A9,'Bill Details'!$D$5:$D$563)</x:f>
        <x:v>70377</x:v>
      </x:c>
      <x:c r="D9" s="26" t="n">
        <x:f>INDEX('Bill Details'!$E$5:$E$563,MATCH(A9,'Bill Details'!$A$5:$A$563,0))</x:f>
        <x:v>45912</x:v>
      </x:c>
      <x:c r="E9" s="20" t="n">
        <x:f>TODAY()-D9</x:f>
        <x:v>323</x:v>
      </x:c>
    </x:row>
    <x:row r="10">
      <x:c r="A10" s="20" t="str">
        <x:v>Sri Meenakshi Hardware and Tools</x:v>
      </x:c>
      <x:c r="B10" s="20" t="n">
        <x:f>COUNTIF('Bill Details'!$A$5:$A$563,A10)</x:f>
        <x:v>25</x:v>
      </x:c>
      <x:c r="C10" s="23" t="n">
        <x:f>SUMIF('Bill Details'!$A$5:$A$563,A10,'Bill Details'!$D$5:$D$563)</x:f>
        <x:v>158534</x:v>
      </x:c>
      <x:c r="D10" s="26" t="n">
        <x:f>INDEX('Bill Details'!$E$5:$E$563,MATCH(A10,'Bill Details'!$A$5:$A$563,0))</x:f>
        <x:v>45934</x:v>
      </x:c>
      <x:c r="E10" s="20" t="n">
        <x:f>TODAY()-D10</x:f>
        <x:v>301</x:v>
      </x:c>
    </x:row>
    <x:row r="11">
      <x:c r="A11" s="20" t="str">
        <x:v>IntegratedConveyors&amp;PaclineAutomationTechnologies</x:v>
      </x:c>
      <x:c r="B11" s="20" t="n">
        <x:f>COUNTIF('Bill Details'!$A$5:$A$563,A11)</x:f>
        <x:v>6</x:v>
      </x:c>
      <x:c r="C11" s="23" t="n">
        <x:f>SUMIF('Bill Details'!$A$5:$A$563,A11,'Bill Details'!$D$5:$D$563)</x:f>
        <x:v>78587</x:v>
      </x:c>
      <x:c r="D11" s="26" t="n">
        <x:f>INDEX('Bill Details'!$E$5:$E$563,MATCH(A11,'Bill Details'!$A$5:$A$563,0))</x:f>
        <x:v>45936</x:v>
      </x:c>
      <x:c r="E11" s="20" t="n">
        <x:f>TODAY()-D11</x:f>
        <x:v>299</x:v>
      </x:c>
    </x:row>
    <x:row r="12">
      <x:c r="A12" s="20" t="str">
        <x:v>Maimoon Industrial Suppliers</x:v>
      </x:c>
      <x:c r="B12" s="20" t="n">
        <x:f>COUNTIF('Bill Details'!$A$5:$A$563,A12)</x:f>
        <x:v>1</x:v>
      </x:c>
      <x:c r="C12" s="23" t="n">
        <x:f>SUMIF('Bill Details'!$A$5:$A$563,A12,'Bill Details'!$D$5:$D$563)</x:f>
        <x:v>13000</x:v>
      </x:c>
      <x:c r="D12" s="26" t="n">
        <x:f>INDEX('Bill Details'!$E$5:$E$563,MATCH(A12,'Bill Details'!$A$5:$A$563,0))</x:f>
        <x:v>45944</x:v>
      </x:c>
      <x:c r="E12" s="20" t="n">
        <x:f>TODAY()-D12</x:f>
        <x:v>291</x:v>
      </x:c>
    </x:row>
    <x:row r="13">
      <x:c r="A13" s="20" t="str">
        <x:v>Alutech Foundry India (P) LTD</x:v>
      </x:c>
      <x:c r="B13" s="20" t="n">
        <x:f>COUNTIF('Bill Details'!$A$5:$A$563,A13)</x:f>
        <x:v>3</x:v>
      </x:c>
      <x:c r="C13" s="23" t="n">
        <x:f>SUMIF('Bill Details'!$A$5:$A$563,A13,'Bill Details'!$D$5:$D$563)</x:f>
        <x:v>7965</x:v>
      </x:c>
      <x:c r="D13" s="26" t="n">
        <x:f>INDEX('Bill Details'!$E$5:$E$563,MATCH(A13,'Bill Details'!$A$5:$A$563,0))</x:f>
        <x:v>46011</x:v>
      </x:c>
      <x:c r="E13" s="20" t="n">
        <x:f>TODAY()-D13</x:f>
        <x:v>224</x:v>
      </x:c>
    </x:row>
    <x:row r="14">
      <x:c r="A14" s="20" t="str">
        <x:v>Velavan Mill Store</x:v>
      </x:c>
      <x:c r="B14" s="20" t="n">
        <x:f>COUNTIF('Bill Details'!$A$5:$A$563,A14)</x:f>
        <x:v>5</x:v>
      </x:c>
      <x:c r="C14" s="23" t="n">
        <x:f>SUMIF('Bill Details'!$A$5:$A$563,A14,'Bill Details'!$D$5:$D$563)</x:f>
        <x:v>44439</x:v>
      </x:c>
      <x:c r="D14" s="26" t="n">
        <x:f>INDEX('Bill Details'!$E$5:$E$563,MATCH(A14,'Bill Details'!$A$5:$A$563,0))</x:f>
        <x:v>46017</x:v>
      </x:c>
      <x:c r="E14" s="20" t="n">
        <x:f>TODAY()-D14</x:f>
        <x:v>218</x:v>
      </x:c>
    </x:row>
    <x:row r="15">
      <x:c r="A15" s="20" t="str">
        <x:v>B M Trade Links</x:v>
      </x:c>
      <x:c r="B15" s="20" t="n">
        <x:f>COUNTIF('Bill Details'!$A$5:$A$563,A15)</x:f>
        <x:v>13</x:v>
      </x:c>
      <x:c r="C15" s="23" t="n">
        <x:f>SUMIF('Bill Details'!$A$5:$A$563,A15,'Bill Details'!$D$5:$D$563)</x:f>
        <x:v>23286</x:v>
      </x:c>
      <x:c r="D15" s="26" t="n">
        <x:f>INDEX('Bill Details'!$E$5:$E$563,MATCH(A15,'Bill Details'!$A$5:$A$563,0))</x:f>
        <x:v>46032</x:v>
      </x:c>
      <x:c r="E15" s="20" t="n">
        <x:f>TODAY()-D15</x:f>
        <x:v>203</x:v>
      </x:c>
    </x:row>
    <x:row r="16">
      <x:c r="A16" s="20" t="str">
        <x:v>Aqiq Enterprises</x:v>
      </x:c>
      <x:c r="B16" s="20" t="n">
        <x:f>COUNTIF('Bill Details'!$A$5:$A$563,A16)</x:f>
        <x:v>7</x:v>
      </x:c>
      <x:c r="C16" s="23" t="n">
        <x:f>SUMIF('Bill Details'!$A$5:$A$563,A16,'Bill Details'!$D$5:$D$563)</x:f>
        <x:v>10155</x:v>
      </x:c>
      <x:c r="D16" s="26" t="n">
        <x:f>INDEX('Bill Details'!$E$5:$E$563,MATCH(A16,'Bill Details'!$A$5:$A$563,0))</x:f>
        <x:v>46034</x:v>
      </x:c>
      <x:c r="E16" s="20" t="n">
        <x:f>TODAY()-D16</x:f>
        <x:v>201</x:v>
      </x:c>
    </x:row>
    <x:row r="17">
      <x:c r="A17" s="20" t="str">
        <x:v>Burhani Traders</x:v>
      </x:c>
      <x:c r="B17" s="20" t="n">
        <x:f>COUNTIF('Bill Details'!$A$5:$A$563,A17)</x:f>
        <x:v>27</x:v>
      </x:c>
      <x:c r="C17" s="23" t="n">
        <x:f>SUMIF('Bill Details'!$A$5:$A$563,A17,'Bill Details'!$D$5:$D$563)</x:f>
        <x:v>238111</x:v>
      </x:c>
      <x:c r="D17" s="26" t="n">
        <x:f>INDEX('Bill Details'!$E$5:$E$563,MATCH(A17,'Bill Details'!$A$5:$A$563,0))</x:f>
        <x:v>46046</x:v>
      </x:c>
      <x:c r="E17" s="20" t="n">
        <x:f>TODAY()-D17</x:f>
        <x:v>189</x:v>
      </x:c>
    </x:row>
    <x:row r="18">
      <x:c r="A18" s="20" t="str">
        <x:v>Excellent Traders</x:v>
      </x:c>
      <x:c r="B18" s="20" t="n">
        <x:f>COUNTIF('Bill Details'!$A$5:$A$563,A18)</x:f>
        <x:v>2</x:v>
      </x:c>
      <x:c r="C18" s="23" t="n">
        <x:f>SUMIF('Bill Details'!$A$5:$A$563,A18,'Bill Details'!$D$5:$D$563)</x:f>
        <x:v>10782</x:v>
      </x:c>
      <x:c r="D18" s="26" t="n">
        <x:f>INDEX('Bill Details'!$E$5:$E$563,MATCH(A18,'Bill Details'!$A$5:$A$563,0))</x:f>
        <x:v>46067</x:v>
      </x:c>
      <x:c r="E18" s="20" t="n">
        <x:f>TODAY()-D18</x:f>
        <x:v>168</x:v>
      </x:c>
    </x:row>
    <x:row r="19">
      <x:c r="A19" s="20" t="str">
        <x:v>Unique Wire Ropes &amp; Tackles</x:v>
      </x:c>
      <x:c r="B19" s="20" t="n">
        <x:f>COUNTIF('Bill Details'!$A$5:$A$563,A19)</x:f>
        <x:v>18</x:v>
      </x:c>
      <x:c r="C19" s="23" t="n">
        <x:f>SUMIF('Bill Details'!$A$5:$A$563,A19,'Bill Details'!$D$5:$D$563)</x:f>
        <x:v>86975</x:v>
      </x:c>
      <x:c r="D19" s="26" t="n">
        <x:f>INDEX('Bill Details'!$E$5:$E$563,MATCH(A19,'Bill Details'!$A$5:$A$563,0))</x:f>
        <x:v>46070</x:v>
      </x:c>
      <x:c r="E19" s="20" t="n">
        <x:f>TODAY()-D19</x:f>
        <x:v>165</x:v>
      </x:c>
    </x:row>
    <x:row r="20">
      <x:c r="A20" s="20" t="str">
        <x:v>TRUE VALUE SHOES AND SAFETY</x:v>
      </x:c>
      <x:c r="B20" s="20" t="n">
        <x:f>COUNTIF('Bill Details'!$A$5:$A$563,A20)</x:f>
        <x:v>16</x:v>
      </x:c>
      <x:c r="C20" s="23" t="n">
        <x:f>SUMIF('Bill Details'!$A$5:$A$563,A20,'Bill Details'!$D$5:$D$563)</x:f>
        <x:v>68445</x:v>
      </x:c>
      <x:c r="D20" s="26" t="n">
        <x:f>INDEX('Bill Details'!$E$5:$E$563,MATCH(A20,'Bill Details'!$A$5:$A$563,0))</x:f>
        <x:v>46073</x:v>
      </x:c>
      <x:c r="E20" s="20" t="n">
        <x:f>TODAY()-D20</x:f>
        <x:v>162</x:v>
      </x:c>
    </x:row>
    <x:row r="21">
      <x:c r="A21" s="20" t="str">
        <x:v>SSTG TECHNOLOGIES INDIA PRIVATE LIMITED</x:v>
      </x:c>
      <x:c r="B21" s="20" t="n">
        <x:f>COUNTIF('Bill Details'!$A$5:$A$563,A21)</x:f>
        <x:v>24</x:v>
      </x:c>
      <x:c r="C21" s="23" t="n">
        <x:f>SUMIF('Bill Details'!$A$5:$A$563,A21,'Bill Details'!$D$5:$D$563)</x:f>
        <x:v>109542</x:v>
      </x:c>
      <x:c r="D21" s="26" t="n">
        <x:f>INDEX('Bill Details'!$E$5:$E$563,MATCH(A21,'Bill Details'!$A$5:$A$563,0))</x:f>
        <x:v>46079</x:v>
      </x:c>
      <x:c r="E21" s="20" t="n">
        <x:f>TODAY()-D21</x:f>
        <x:v>156</x:v>
      </x:c>
    </x:row>
    <x:row r="22">
      <x:c r="A22" s="20" t="str">
        <x:v>Taher Enterprises</x:v>
      </x:c>
      <x:c r="B22" s="20" t="n">
        <x:f>COUNTIF('Bill Details'!$A$5:$A$563,A22)</x:f>
        <x:v>5</x:v>
      </x:c>
      <x:c r="C22" s="23" t="n">
        <x:f>SUMIF('Bill Details'!$A$5:$A$563,A22,'Bill Details'!$D$5:$D$563)</x:f>
        <x:v>22615</x:v>
      </x:c>
      <x:c r="D22" s="26" t="n">
        <x:f>INDEX('Bill Details'!$E$5:$E$563,MATCH(A22,'Bill Details'!$A$5:$A$563,0))</x:f>
        <x:v>46083</x:v>
      </x:c>
      <x:c r="E22" s="20" t="n">
        <x:f>TODAY()-D22</x:f>
        <x:v>152</x:v>
      </x:c>
    </x:row>
    <x:row r="23">
      <x:c r="A23" s="20" t="str">
        <x:v>GOOD LUCK INDUSTRIALS ACCESSORIES</x:v>
      </x:c>
      <x:c r="B23" s="20" t="n">
        <x:f>COUNTIF('Bill Details'!$A$5:$A$563,A23)</x:f>
        <x:v>1</x:v>
      </x:c>
      <x:c r="C23" s="23" t="n">
        <x:f>SUMIF('Bill Details'!$A$5:$A$563,A23,'Bill Details'!$D$5:$D$563)</x:f>
        <x:v>9828</x:v>
      </x:c>
      <x:c r="D23" s="26" t="n">
        <x:f>INDEX('Bill Details'!$E$5:$E$563,MATCH(A23,'Bill Details'!$A$5:$A$563,0))</x:f>
        <x:v>46087</x:v>
      </x:c>
      <x:c r="E23" s="20" t="n">
        <x:f>TODAY()-D23</x:f>
        <x:v>148</x:v>
      </x:c>
    </x:row>
    <x:row r="24">
      <x:c r="A24" s="20" t="str">
        <x:v>Alif Traders</x:v>
      </x:c>
      <x:c r="B24" s="20" t="n">
        <x:f>COUNTIF('Bill Details'!$A$5:$A$563,A24)</x:f>
        <x:v>11</x:v>
      </x:c>
      <x:c r="C24" s="23" t="n">
        <x:f>SUMIF('Bill Details'!$A$5:$A$563,A24,'Bill Details'!$D$5:$D$563)</x:f>
        <x:v>119404</x:v>
      </x:c>
      <x:c r="D24" s="26" t="n">
        <x:f>INDEX('Bill Details'!$E$5:$E$563,MATCH(A24,'Bill Details'!$A$5:$A$563,0))</x:f>
        <x:v>46102</x:v>
      </x:c>
      <x:c r="E24" s="20" t="n">
        <x:f>TODAY()-D24</x:f>
        <x:v>133</x:v>
      </x:c>
    </x:row>
    <x:row r="25">
      <x:c r="A25" s="20" t="str">
        <x:v>SHABIS ENTERPRISES</x:v>
      </x:c>
      <x:c r="B25" s="20" t="n">
        <x:f>COUNTIF('Bill Details'!$A$5:$A$563,A25)</x:f>
        <x:v>1</x:v>
      </x:c>
      <x:c r="C25" s="23" t="n">
        <x:f>SUMIF('Bill Details'!$A$5:$A$563,A25,'Bill Details'!$D$5:$D$563)</x:f>
        <x:v>7800</x:v>
      </x:c>
      <x:c r="D25" s="26" t="n">
        <x:f>INDEX('Bill Details'!$E$5:$E$563,MATCH(A25,'Bill Details'!$A$5:$A$563,0))</x:f>
        <x:v>46104</x:v>
      </x:c>
      <x:c r="E25" s="20" t="n">
        <x:f>TODAY()-D25</x:f>
        <x:v>131</x:v>
      </x:c>
    </x:row>
    <x:row r="26">
      <x:c r="A26" s="20" t="str">
        <x:v>Sekar Engineering Works</x:v>
      </x:c>
      <x:c r="B26" s="20" t="n">
        <x:f>COUNTIF('Bill Details'!$A$5:$A$563,A26)</x:f>
        <x:v>4</x:v>
      </x:c>
      <x:c r="C26" s="23" t="n">
        <x:f>SUMIF('Bill Details'!$A$5:$A$563,A26,'Bill Details'!$D$5:$D$563)</x:f>
        <x:v>16423</x:v>
      </x:c>
      <x:c r="D26" s="26" t="n">
        <x:f>INDEX('Bill Details'!$E$5:$E$563,MATCH(A26,'Bill Details'!$A$5:$A$563,0))</x:f>
        <x:v>46109</x:v>
      </x:c>
      <x:c r="E26" s="20" t="n">
        <x:f>TODAY()-D26</x:f>
        <x:v>126</x:v>
      </x:c>
    </x:row>
    <x:row r="27">
      <x:c r="A27" s="20" t="str">
        <x:v>South Coast Enterprises</x:v>
      </x:c>
      <x:c r="B27" s="20" t="n">
        <x:f>COUNTIF('Bill Details'!$A$5:$A$563,A27)</x:f>
        <x:v>10</x:v>
      </x:c>
      <x:c r="C27" s="23" t="n">
        <x:f>SUMIF('Bill Details'!$A$5:$A$563,A27,'Bill Details'!$D$5:$D$563)</x:f>
        <x:v>14037</x:v>
      </x:c>
      <x:c r="D27" s="26" t="n">
        <x:f>INDEX('Bill Details'!$E$5:$E$563,MATCH(A27,'Bill Details'!$A$5:$A$563,0))</x:f>
        <x:v>46109</x:v>
      </x:c>
      <x:c r="E27" s="20" t="n">
        <x:f>TODAY()-D27</x:f>
        <x:v>126</x:v>
      </x:c>
    </x:row>
    <x:row r="28">
      <x:c r="A28" s="20" t="str">
        <x:v>Noor Traders</x:v>
      </x:c>
      <x:c r="B28" s="20" t="n">
        <x:f>COUNTIF('Bill Details'!$A$5:$A$563,A28)</x:f>
        <x:v>5</x:v>
      </x:c>
      <x:c r="C28" s="23" t="n">
        <x:f>SUMIF('Bill Details'!$A$5:$A$563,A28,'Bill Details'!$D$5:$D$563)</x:f>
        <x:v>108563</x:v>
      </x:c>
      <x:c r="D28" s="26" t="n">
        <x:f>INDEX('Bill Details'!$E$5:$E$563,MATCH(A28,'Bill Details'!$A$5:$A$563,0))</x:f>
        <x:v>46113</x:v>
      </x:c>
      <x:c r="E28" s="20" t="n">
        <x:f>TODAY()-D28</x:f>
        <x:v>122</x:v>
      </x:c>
    </x:row>
    <x:row r="29">
      <x:c r="A29" s="20" t="str">
        <x:v>Associated Hardware &amp; Tools Corporation</x:v>
      </x:c>
      <x:c r="B29" s="20" t="n">
        <x:f>COUNTIF('Bill Details'!$A$5:$A$563,A29)</x:f>
        <x:v>7</x:v>
      </x:c>
      <x:c r="C29" s="23" t="n">
        <x:f>SUMIF('Bill Details'!$A$5:$A$563,A29,'Bill Details'!$D$5:$D$563)</x:f>
        <x:v>41253</x:v>
      </x:c>
      <x:c r="D29" s="26" t="n">
        <x:f>INDEX('Bill Details'!$E$5:$E$563,MATCH(A29,'Bill Details'!$A$5:$A$563,0))</x:f>
        <x:v>46114</x:v>
      </x:c>
      <x:c r="E29" s="20" t="n">
        <x:f>TODAY()-D29</x:f>
        <x:v>121</x:v>
      </x:c>
    </x:row>
    <x:row r="30">
      <x:c r="A30" s="20" t="str">
        <x:v>Auto Mech Tools</x:v>
      </x:c>
      <x:c r="B30" s="20" t="n">
        <x:f>COUNTIF('Bill Details'!$A$5:$A$563,A30)</x:f>
        <x:v>15</x:v>
      </x:c>
      <x:c r="C30" s="23" t="n">
        <x:f>SUMIF('Bill Details'!$A$5:$A$563,A30,'Bill Details'!$D$5:$D$563)</x:f>
        <x:v>92608</x:v>
      </x:c>
      <x:c r="D30" s="26" t="n">
        <x:f>INDEX('Bill Details'!$E$5:$E$563,MATCH(A30,'Bill Details'!$A$5:$A$563,0))</x:f>
        <x:v>46116</x:v>
      </x:c>
      <x:c r="E30" s="20" t="n">
        <x:f>TODAY()-D30</x:f>
        <x:v>119</x:v>
      </x:c>
    </x:row>
    <x:row r="31">
      <x:c r="A31" s="20" t="str">
        <x:v>Evershine Enterprises</x:v>
      </x:c>
      <x:c r="B31" s="20" t="n">
        <x:f>COUNTIF('Bill Details'!$A$5:$A$563,A31)</x:f>
        <x:v>17</x:v>
      </x:c>
      <x:c r="C31" s="23" t="n">
        <x:f>SUMIF('Bill Details'!$A$5:$A$563,A31,'Bill Details'!$D$5:$D$563)</x:f>
        <x:v>53111</x:v>
      </x:c>
      <x:c r="D31" s="26" t="n">
        <x:f>INDEX('Bill Details'!$E$5:$E$563,MATCH(A31,'Bill Details'!$A$5:$A$563,0))</x:f>
        <x:v>46116</x:v>
      </x:c>
      <x:c r="E31" s="20" t="n">
        <x:f>TODAY()-D31</x:f>
        <x:v>119</x:v>
      </x:c>
    </x:row>
    <x:row r="32">
      <x:c r="A32" s="20" t="str">
        <x:v>Safeboy Safety Solutions</x:v>
      </x:c>
      <x:c r="B32" s="20" t="n">
        <x:f>COUNTIF('Bill Details'!$A$5:$A$563,A32)</x:f>
        <x:v>12</x:v>
      </x:c>
      <x:c r="C32" s="23" t="n">
        <x:f>SUMIF('Bill Details'!$A$5:$A$563,A32,'Bill Details'!$D$5:$D$563)</x:f>
        <x:v>22276</x:v>
      </x:c>
      <x:c r="D32" s="26" t="n">
        <x:f>INDEX('Bill Details'!$E$5:$E$563,MATCH(A32,'Bill Details'!$A$5:$A$563,0))</x:f>
        <x:v>46116</x:v>
      </x:c>
      <x:c r="E32" s="20" t="n">
        <x:f>TODAY()-D32</x:f>
        <x:v>119</x:v>
      </x:c>
    </x:row>
    <x:row r="33">
      <x:c r="A33" s="20" t="str">
        <x:v>SAMRAT TOOLS CENTRE</x:v>
      </x:c>
      <x:c r="B33" s="20" t="n">
        <x:f>COUNTIF('Bill Details'!$A$5:$A$563,A33)</x:f>
        <x:v>5</x:v>
      </x:c>
      <x:c r="C33" s="23" t="n">
        <x:f>SUMIF('Bill Details'!$A$5:$A$563,A33,'Bill Details'!$D$5:$D$563)</x:f>
        <x:v>11900</x:v>
      </x:c>
      <x:c r="D33" s="26" t="n">
        <x:f>INDEX('Bill Details'!$E$5:$E$563,MATCH(A33,'Bill Details'!$A$5:$A$563,0))</x:f>
        <x:v>46119</x:v>
      </x:c>
      <x:c r="E33" s="20" t="n">
        <x:f>TODAY()-D33</x:f>
        <x:v>116</x:v>
      </x:c>
    </x:row>
    <x:row r="34">
      <x:c r="A34" s="20" t="str">
        <x:v>Argo Hytos Pvt.Ltd</x:v>
      </x:c>
      <x:c r="B34" s="20" t="n">
        <x:f>COUNTIF('Bill Details'!$A$5:$A$563,A34)</x:f>
        <x:v>8</x:v>
      </x:c>
      <x:c r="C34" s="23" t="n">
        <x:f>SUMIF('Bill Details'!$A$5:$A$563,A34,'Bill Details'!$D$5:$D$563)</x:f>
        <x:v>52708</x:v>
      </x:c>
      <x:c r="D34" s="26" t="n">
        <x:f>INDEX('Bill Details'!$E$5:$E$563,MATCH(A34,'Bill Details'!$A$5:$A$563,0))</x:f>
        <x:v>46120</x:v>
      </x:c>
      <x:c r="E34" s="20" t="n">
        <x:f>TODAY()-D34</x:f>
        <x:v>115</x:v>
      </x:c>
    </x:row>
    <x:row r="35">
      <x:c r="A35" s="20" t="str">
        <x:v>Fahi Q Innovation</x:v>
      </x:c>
      <x:c r="B35" s="20" t="n">
        <x:f>COUNTIF('Bill Details'!$A$5:$A$563,A35)</x:f>
        <x:v>4</x:v>
      </x:c>
      <x:c r="C35" s="23" t="n">
        <x:f>SUMIF('Bill Details'!$A$5:$A$563,A35,'Bill Details'!$D$5:$D$563)</x:f>
        <x:v>68959</x:v>
      </x:c>
      <x:c r="D35" s="26" t="n">
        <x:f>INDEX('Bill Details'!$E$5:$E$563,MATCH(A35,'Bill Details'!$A$5:$A$563,0))</x:f>
        <x:v>46122</x:v>
      </x:c>
      <x:c r="E35" s="20" t="n">
        <x:f>TODAY()-D35</x:f>
        <x:v>113</x:v>
      </x:c>
    </x:row>
    <x:row r="36">
      <x:c r="A36" s="20" t="str">
        <x:v>Salem Pipe Traders</x:v>
      </x:c>
      <x:c r="B36" s="20" t="n">
        <x:f>COUNTIF('Bill Details'!$A$5:$A$563,A36)</x:f>
        <x:v>10</x:v>
      </x:c>
      <x:c r="C36" s="23" t="n">
        <x:f>SUMIF('Bill Details'!$A$5:$A$563,A36,'Bill Details'!$D$5:$D$563)</x:f>
        <x:v>61020</x:v>
      </x:c>
      <x:c r="D36" s="26" t="n">
        <x:f>INDEX('Bill Details'!$E$5:$E$563,MATCH(A36,'Bill Details'!$A$5:$A$563,0))</x:f>
        <x:v>46122</x:v>
      </x:c>
      <x:c r="E36" s="20" t="n">
        <x:f>TODAY()-D36</x:f>
        <x:v>113</x:v>
      </x:c>
    </x:row>
    <x:row r="37">
      <x:c r="A37" s="20" t="str">
        <x:v>Coimbatore Machinery &amp; Metal Mart</x:v>
      </x:c>
      <x:c r="B37" s="20" t="n">
        <x:f>COUNTIF('Bill Details'!$A$5:$A$563,A37)</x:f>
        <x:v>3</x:v>
      </x:c>
      <x:c r="C37" s="23" t="n">
        <x:f>SUMIF('Bill Details'!$A$5:$A$563,A37,'Bill Details'!$D$5:$D$563)</x:f>
        <x:v>2464</x:v>
      </x:c>
      <x:c r="D37" s="26" t="n">
        <x:f>INDEX('Bill Details'!$E$5:$E$563,MATCH(A37,'Bill Details'!$A$5:$A$563,0))</x:f>
        <x:v>46128</x:v>
      </x:c>
      <x:c r="E37" s="20" t="n">
        <x:f>TODAY()-D37</x:f>
        <x:v>107</x:v>
      </x:c>
    </x:row>
    <x:row r="38">
      <x:c r="A38" s="20" t="str">
        <x:v>Noor Enterprises</x:v>
      </x:c>
      <x:c r="B38" s="20" t="n">
        <x:f>COUNTIF('Bill Details'!$A$5:$A$563,A38)</x:f>
        <x:v>5</x:v>
      </x:c>
      <x:c r="C38" s="23" t="n">
        <x:f>SUMIF('Bill Details'!$A$5:$A$563,A38,'Bill Details'!$D$5:$D$563)</x:f>
        <x:v>28750</x:v>
      </x:c>
      <x:c r="D38" s="26" t="n">
        <x:f>INDEX('Bill Details'!$E$5:$E$563,MATCH(A38,'Bill Details'!$A$5:$A$563,0))</x:f>
        <x:v>46133</x:v>
      </x:c>
      <x:c r="E38" s="20" t="n">
        <x:f>TODAY()-D38</x:f>
        <x:v>102</x:v>
      </x:c>
    </x:row>
    <x:row r="39">
      <x:c r="A39" s="20" t="str">
        <x:v>MS Trading Company</x:v>
      </x:c>
      <x:c r="B39" s="20" t="n">
        <x:f>COUNTIF('Bill Details'!$A$5:$A$563,A39)</x:f>
        <x:v>1</x:v>
      </x:c>
      <x:c r="C39" s="23" t="n">
        <x:f>SUMIF('Bill Details'!$A$5:$A$563,A39,'Bill Details'!$D$5:$D$563)</x:f>
        <x:v>1623</x:v>
      </x:c>
      <x:c r="D39" s="26" t="n">
        <x:f>INDEX('Bill Details'!$E$5:$E$563,MATCH(A39,'Bill Details'!$A$5:$A$563,0))</x:f>
        <x:v>46136</x:v>
      </x:c>
      <x:c r="E39" s="20" t="n">
        <x:f>TODAY()-D39</x:f>
        <x:v>99</x:v>
      </x:c>
    </x:row>
    <x:row r="40">
      <x:c r="A40" s="20" t="str">
        <x:v>South India Trading Agencies</x:v>
      </x:c>
      <x:c r="B40" s="20" t="n">
        <x:f>COUNTIF('Bill Details'!$A$5:$A$563,A40)</x:f>
        <x:v>2</x:v>
      </x:c>
      <x:c r="C40" s="23" t="n">
        <x:f>SUMIF('Bill Details'!$A$5:$A$563,A40,'Bill Details'!$D$5:$D$563)</x:f>
        <x:v>594</x:v>
      </x:c>
      <x:c r="D40" s="26" t="n">
        <x:f>INDEX('Bill Details'!$E$5:$E$563,MATCH(A40,'Bill Details'!$A$5:$A$563,0))</x:f>
        <x:v>46140</x:v>
      </x:c>
      <x:c r="E40" s="20" t="n">
        <x:f>TODAY()-D40</x:f>
        <x:v>95</x:v>
      </x:c>
    </x:row>
    <x:row r="41">
      <x:c r="A41" s="20" t="str">
        <x:v>Modern Enterprises</x:v>
      </x:c>
      <x:c r="B41" s="20" t="n">
        <x:f>COUNTIF('Bill Details'!$A$5:$A$563,A41)</x:f>
        <x:v>11</x:v>
      </x:c>
      <x:c r="C41" s="23" t="n">
        <x:f>SUMIF('Bill Details'!$A$5:$A$563,A41,'Bill Details'!$D$5:$D$563)</x:f>
        <x:v>112332</x:v>
      </x:c>
      <x:c r="D41" s="26" t="n">
        <x:f>INDEX('Bill Details'!$E$5:$E$563,MATCH(A41,'Bill Details'!$A$5:$A$563,0))</x:f>
        <x:v>46144</x:v>
      </x:c>
      <x:c r="E41" s="20" t="n">
        <x:f>TODAY()-D41</x:f>
        <x:v>91</x:v>
      </x:c>
    </x:row>
    <x:row r="42">
      <x:c r="A42" s="20" t="str">
        <x:v>IAMAX Precision India Pvt Ltd</x:v>
      </x:c>
      <x:c r="B42" s="20" t="n">
        <x:f>COUNTIF('Bill Details'!$A$5:$A$563,A42)</x:f>
        <x:v>7</x:v>
      </x:c>
      <x:c r="C42" s="23" t="n">
        <x:f>SUMIF('Bill Details'!$A$5:$A$563,A42,'Bill Details'!$D$5:$D$563)</x:f>
        <x:v>66432</x:v>
      </x:c>
      <x:c r="D42" s="26" t="n">
        <x:f>INDEX('Bill Details'!$E$5:$E$563,MATCH(A42,'Bill Details'!$A$5:$A$563,0))</x:f>
        <x:v>46147</x:v>
      </x:c>
      <x:c r="E42" s="20" t="n">
        <x:f>TODAY()-D42</x:f>
        <x:v>88</x:v>
      </x:c>
    </x:row>
    <x:row r="43">
      <x:c r="A43" s="20" t="str">
        <x:v>Hirani Hardware</x:v>
      </x:c>
      <x:c r="B43" s="20" t="n">
        <x:f>COUNTIF('Bill Details'!$A$5:$A$563,A43)</x:f>
        <x:v>1</x:v>
      </x:c>
      <x:c r="C43" s="23" t="n">
        <x:f>SUMIF('Bill Details'!$A$5:$A$563,A43,'Bill Details'!$D$5:$D$563)</x:f>
        <x:v>1001</x:v>
      </x:c>
      <x:c r="D43" s="26" t="n">
        <x:f>INDEX('Bill Details'!$E$5:$E$563,MATCH(A43,'Bill Details'!$A$5:$A$563,0))</x:f>
        <x:v>46154</x:v>
      </x:c>
      <x:c r="E43" s="20" t="n">
        <x:f>TODAY()-D43</x:f>
        <x:v>81</x:v>
      </x:c>
    </x:row>
    <x:row r="44">
      <x:c r="A44" s="20" t="str">
        <x:v>South India Trading Company</x:v>
      </x:c>
      <x:c r="B44" s="20" t="n">
        <x:f>COUNTIF('Bill Details'!$A$5:$A$563,A44)</x:f>
        <x:v>2</x:v>
      </x:c>
      <x:c r="C44" s="23" t="n">
        <x:f>SUMIF('Bill Details'!$A$5:$A$563,A44,'Bill Details'!$D$5:$D$563)</x:f>
        <x:v>2092</x:v>
      </x:c>
      <x:c r="D44" s="26" t="n">
        <x:f>INDEX('Bill Details'!$E$5:$E$563,MATCH(A44,'Bill Details'!$A$5:$A$563,0))</x:f>
        <x:v>46156</x:v>
      </x:c>
      <x:c r="E44" s="20" t="n">
        <x:f>TODAY()-D44</x:f>
        <x:v>79</x:v>
      </x:c>
    </x:row>
    <x:row r="45">
      <x:c r="A45" s="20" t="str">
        <x:v>BEST MACHINERY SUPPLIER</x:v>
      </x:c>
      <x:c r="B45" s="20" t="n">
        <x:f>COUNTIF('Bill Details'!$A$5:$A$563,A45)</x:f>
        <x:v>10</x:v>
      </x:c>
      <x:c r="C45" s="23" t="n">
        <x:f>SUMIF('Bill Details'!$A$5:$A$563,A45,'Bill Details'!$D$5:$D$563)</x:f>
        <x:v>66140</x:v>
      </x:c>
      <x:c r="D45" s="26" t="n">
        <x:f>INDEX('Bill Details'!$E$5:$E$563,MATCH(A45,'Bill Details'!$A$5:$A$563,0))</x:f>
        <x:v>46158</x:v>
      </x:c>
      <x:c r="E45" s="20" t="n">
        <x:f>TODAY()-D45</x:f>
        <x:v>77</x:v>
      </x:c>
    </x:row>
    <x:row r="46">
      <x:c r="A46" s="20" t="str">
        <x:v>Pioneer Engineering</x:v>
      </x:c>
      <x:c r="B46" s="20" t="n">
        <x:f>COUNTIF('Bill Details'!$A$5:$A$563,A46)</x:f>
        <x:v>1</x:v>
      </x:c>
      <x:c r="C46" s="23" t="n">
        <x:f>SUMIF('Bill Details'!$A$5:$A$563,A46,'Bill Details'!$D$5:$D$563)</x:f>
        <x:v>17175</x:v>
      </x:c>
      <x:c r="D46" s="26" t="n">
        <x:f>INDEX('Bill Details'!$E$5:$E$563,MATCH(A46,'Bill Details'!$A$5:$A$563,0))</x:f>
        <x:v>46158</x:v>
      </x:c>
      <x:c r="E46" s="20" t="n">
        <x:f>TODAY()-D46</x:f>
        <x:v>77</x:v>
      </x:c>
    </x:row>
    <x:row r="47">
      <x:c r="A47" s="20" t="str">
        <x:v>PRS AGENCIES</x:v>
      </x:c>
      <x:c r="B47" s="20" t="n">
        <x:f>COUNTIF('Bill Details'!$A$5:$A$563,A47)</x:f>
        <x:v>1</x:v>
      </x:c>
      <x:c r="C47" s="23" t="n">
        <x:f>SUMIF('Bill Details'!$A$5:$A$563,A47,'Bill Details'!$D$5:$D$563)</x:f>
        <x:v>1671</x:v>
      </x:c>
      <x:c r="D47" s="26" t="n">
        <x:f>INDEX('Bill Details'!$E$5:$E$563,MATCH(A47,'Bill Details'!$A$5:$A$563,0))</x:f>
        <x:v>46158</x:v>
      </x:c>
      <x:c r="E47" s="20" t="n">
        <x:f>TODAY()-D47</x:f>
        <x:v>77</x:v>
      </x:c>
    </x:row>
    <x:row r="48">
      <x:c r="A48" s="20" t="str">
        <x:v>Lemniscate Associates</x:v>
      </x:c>
      <x:c r="B48" s="20" t="n">
        <x:f>COUNTIF('Bill Details'!$A$5:$A$563,A48)</x:f>
        <x:v>5</x:v>
      </x:c>
      <x:c r="C48" s="23" t="n">
        <x:f>SUMIF('Bill Details'!$A$5:$A$563,A48,'Bill Details'!$D$5:$D$563)</x:f>
        <x:v>8114</x:v>
      </x:c>
      <x:c r="D48" s="26" t="n">
        <x:f>INDEX('Bill Details'!$E$5:$E$563,MATCH(A48,'Bill Details'!$A$5:$A$563,0))</x:f>
        <x:v>46162</x:v>
      </x:c>
      <x:c r="E48" s="20" t="n">
        <x:f>TODAY()-D48</x:f>
        <x:v>73</x:v>
      </x:c>
    </x:row>
    <x:row r="49">
      <x:c r="A49" s="20" t="str">
        <x:v>Sardha Enterprises</x:v>
      </x:c>
      <x:c r="B49" s="20" t="n">
        <x:f>COUNTIF('Bill Details'!$A$5:$A$563,A49)</x:f>
        <x:v>2</x:v>
      </x:c>
      <x:c r="C49" s="23" t="n">
        <x:f>SUMIF('Bill Details'!$A$5:$A$563,A49,'Bill Details'!$D$5:$D$563)</x:f>
        <x:v>1659</x:v>
      </x:c>
      <x:c r="D49" s="26" t="n">
        <x:f>INDEX('Bill Details'!$E$5:$E$563,MATCH(A49,'Bill Details'!$A$5:$A$563,0))</x:f>
        <x:v>46163</x:v>
      </x:c>
      <x:c r="E49" s="20" t="n">
        <x:f>TODAY()-D49</x:f>
        <x:v>72</x:v>
      </x:c>
    </x:row>
    <x:row r="50">
      <x:c r="A50" s="20" t="str">
        <x:v>TOOLCOM INNOVATIVE SOLUTIONS PRIVATE LIMITED</x:v>
      </x:c>
      <x:c r="B50" s="20" t="n">
        <x:f>COUNTIF('Bill Details'!$A$5:$A$563,A50)</x:f>
        <x:v>7</x:v>
      </x:c>
      <x:c r="C50" s="23" t="n">
        <x:f>SUMIF('Bill Details'!$A$5:$A$563,A50,'Bill Details'!$D$5:$D$563)</x:f>
        <x:v>19046</x:v>
      </x:c>
      <x:c r="D50" s="26" t="n">
        <x:f>INDEX('Bill Details'!$E$5:$E$563,MATCH(A50,'Bill Details'!$A$5:$A$563,0))</x:f>
        <x:v>46165</x:v>
      </x:c>
      <x:c r="E50" s="20" t="n">
        <x:f>TODAY()-D50</x:f>
        <x:v>70</x:v>
      </x:c>
    </x:row>
    <x:row r="51">
      <x:c r="A51" s="20" t="str">
        <x:v>Tee Y Lifting Solutions</x:v>
      </x:c>
      <x:c r="B51" s="20" t="n">
        <x:f>COUNTIF('Bill Details'!$A$5:$A$563,A51)</x:f>
        <x:v>1</x:v>
      </x:c>
      <x:c r="C51" s="23" t="n">
        <x:f>SUMIF('Bill Details'!$A$5:$A$563,A51,'Bill Details'!$D$5:$D$563)</x:f>
        <x:v>43881</x:v>
      </x:c>
      <x:c r="D51" s="26" t="n">
        <x:f>INDEX('Bill Details'!$E$5:$E$563,MATCH(A51,'Bill Details'!$A$5:$A$563,0))</x:f>
        <x:v>46169</x:v>
      </x:c>
      <x:c r="E51" s="20" t="n">
        <x:f>TODAY()-D51</x:f>
        <x:v>66</x:v>
      </x:c>
    </x:row>
    <x:row r="52">
      <x:c r="A52" s="20" t="str">
        <x:v>ALIF &amp; CO</x:v>
      </x:c>
      <x:c r="B52" s="20" t="n">
        <x:f>COUNTIF('Bill Details'!$A$5:$A$563,A52)</x:f>
        <x:v>1</x:v>
      </x:c>
      <x:c r="C52" s="23" t="n">
        <x:f>SUMIF('Bill Details'!$A$5:$A$563,A52,'Bill Details'!$D$5:$D$563)</x:f>
        <x:v>4800</x:v>
      </x:c>
      <x:c r="D52" s="26" t="n">
        <x:f>INDEX('Bill Details'!$E$5:$E$563,MATCH(A52,'Bill Details'!$A$5:$A$563,0))</x:f>
        <x:v>46172</x:v>
      </x:c>
      <x:c r="E52" s="20" t="n">
        <x:f>TODAY()-D52</x:f>
        <x:v>63</x:v>
      </x:c>
    </x:row>
    <x:row r="53">
      <x:c r="A53" s="20" t="str">
        <x:v>BURHANI INDUSTRIAL MART</x:v>
      </x:c>
      <x:c r="B53" s="20" t="n">
        <x:f>COUNTIF('Bill Details'!$A$5:$A$563,A53)</x:f>
        <x:v>5</x:v>
      </x:c>
      <x:c r="C53" s="23" t="n">
        <x:f>SUMIF('Bill Details'!$A$5:$A$563,A53,'Bill Details'!$D$5:$D$563)</x:f>
        <x:v>6000</x:v>
      </x:c>
      <x:c r="D53" s="26" t="n">
        <x:f>INDEX('Bill Details'!$E$5:$E$563,MATCH(A53,'Bill Details'!$A$5:$A$563,0))</x:f>
        <x:v>46172</x:v>
      </x:c>
      <x:c r="E53" s="20" t="n">
        <x:f>TODAY()-D53</x:f>
        <x:v>63</x:v>
      </x:c>
    </x:row>
    <x:row r="54">
      <x:c r="A54" s="20" t="str">
        <x:v>Excellent Engineering Enterprises</x:v>
      </x:c>
      <x:c r="B54" s="20" t="n">
        <x:f>COUNTIF('Bill Details'!$A$5:$A$563,A54)</x:f>
        <x:v>8</x:v>
      </x:c>
      <x:c r="C54" s="23" t="n">
        <x:f>SUMIF('Bill Details'!$A$5:$A$563,A54,'Bill Details'!$D$5:$D$563)</x:f>
        <x:v>115200</x:v>
      </x:c>
      <x:c r="D54" s="26" t="n">
        <x:f>INDEX('Bill Details'!$E$5:$E$563,MATCH(A54,'Bill Details'!$A$5:$A$563,0))</x:f>
        <x:v>46174</x:v>
      </x:c>
      <x:c r="E54" s="20" t="n">
        <x:f>TODAY()-D54</x:f>
        <x:v>61</x:v>
      </x:c>
    </x:row>
    <x:row r="55">
      <x:c r="A55" s="20" t="str">
        <x:v>SHIVAM TRADERS</x:v>
      </x:c>
      <x:c r="B55" s="20" t="n">
        <x:f>COUNTIF('Bill Details'!$A$5:$A$563,A55)</x:f>
        <x:v>1</x:v>
      </x:c>
      <x:c r="C55" s="23" t="n">
        <x:f>SUMIF('Bill Details'!$A$5:$A$563,A55,'Bill Details'!$D$5:$D$563)</x:f>
        <x:v>600</x:v>
      </x:c>
      <x:c r="D55" s="26" t="n">
        <x:f>INDEX('Bill Details'!$E$5:$E$563,MATCH(A55,'Bill Details'!$A$5:$A$563,0))</x:f>
        <x:v>46174</x:v>
      </x:c>
      <x:c r="E55" s="20" t="n">
        <x:f>TODAY()-D55</x:f>
        <x:v>61</x:v>
      </x:c>
    </x:row>
    <x:row r="56">
      <x:c r="A56" s="20" t="str">
        <x:v>S to Z Traders</x:v>
      </x:c>
      <x:c r="B56" s="20" t="n">
        <x:f>COUNTIF('Bill Details'!$A$5:$A$563,A56)</x:f>
        <x:v>10</x:v>
      </x:c>
      <x:c r="C56" s="23" t="n">
        <x:f>SUMIF('Bill Details'!$A$5:$A$563,A56,'Bill Details'!$D$5:$D$563)</x:f>
        <x:v>77473</x:v>
      </x:c>
      <x:c r="D56" s="26" t="n">
        <x:f>INDEX('Bill Details'!$E$5:$E$563,MATCH(A56,'Bill Details'!$A$5:$A$563,0))</x:f>
        <x:v>46176</x:v>
      </x:c>
      <x:c r="E56" s="20" t="n">
        <x:f>TODAY()-D56</x:f>
        <x:v>59</x:v>
      </x:c>
    </x:row>
    <x:row r="57">
      <x:c r="A57" s="20" t="str">
        <x:v>Degon Traders</x:v>
      </x:c>
      <x:c r="B57" s="20" t="n">
        <x:f>COUNTIF('Bill Details'!$A$5:$A$563,A57)</x:f>
        <x:v>2</x:v>
      </x:c>
      <x:c r="C57" s="23" t="n">
        <x:f>SUMIF('Bill Details'!$A$5:$A$563,A57,'Bill Details'!$D$5:$D$563)</x:f>
        <x:v>17096</x:v>
      </x:c>
      <x:c r="D57" s="26" t="n">
        <x:f>INDEX('Bill Details'!$E$5:$E$563,MATCH(A57,'Bill Details'!$A$5:$A$563,0))</x:f>
        <x:v>46178</x:v>
      </x:c>
      <x:c r="E57" s="20" t="n">
        <x:f>TODAY()-D57</x:f>
        <x:v>57</x:v>
      </x:c>
    </x:row>
    <x:row r="58">
      <x:c r="A58" s="20" t="str">
        <x:v>Nandhu Coats</x:v>
      </x:c>
      <x:c r="B58" s="20" t="n">
        <x:f>COUNTIF('Bill Details'!$A$5:$A$563,A58)</x:f>
        <x:v>6</x:v>
      </x:c>
      <x:c r="C58" s="23" t="n">
        <x:f>SUMIF('Bill Details'!$A$5:$A$563,A58,'Bill Details'!$D$5:$D$563)</x:f>
        <x:v>182236</x:v>
      </x:c>
      <x:c r="D58" s="26" t="n">
        <x:f>INDEX('Bill Details'!$E$5:$E$563,MATCH(A58,'Bill Details'!$A$5:$A$563,0))</x:f>
        <x:v>46179</x:v>
      </x:c>
      <x:c r="E58" s="20" t="n">
        <x:f>TODAY()-D58</x:f>
        <x:v>56</x:v>
      </x:c>
    </x:row>
    <x:row r="59">
      <x:c r="A59" s="20" t="str">
        <x:v>NATIONAL ELECTRO ENGINEERING</x:v>
      </x:c>
      <x:c r="B59" s="20" t="n">
        <x:f>COUNTIF('Bill Details'!$A$5:$A$563,A59)</x:f>
        <x:v>1</x:v>
      </x:c>
      <x:c r="C59" s="23" t="n">
        <x:f>SUMIF('Bill Details'!$A$5:$A$563,A59,'Bill Details'!$D$5:$D$563)</x:f>
        <x:v>56</x:v>
      </x:c>
      <x:c r="D59" s="26" t="n">
        <x:f>INDEX('Bill Details'!$E$5:$E$563,MATCH(A59,'Bill Details'!$A$5:$A$563,0))</x:f>
        <x:v>46179</x:v>
      </x:c>
      <x:c r="E59" s="20" t="n">
        <x:f>TODAY()-D59</x:f>
        <x:v>56</x:v>
      </x:c>
    </x:row>
    <x:row r="60">
      <x:c r="A60" s="20" t="str">
        <x:v>Universal Hardware &amp; Tools Corp</x:v>
      </x:c>
      <x:c r="B60" s="20" t="n">
        <x:f>COUNTIF('Bill Details'!$A$5:$A$563,A60)</x:f>
        <x:v>5</x:v>
      </x:c>
      <x:c r="C60" s="23" t="n">
        <x:f>SUMIF('Bill Details'!$A$5:$A$563,A60,'Bill Details'!$D$5:$D$563)</x:f>
        <x:v>19560</x:v>
      </x:c>
      <x:c r="D60" s="26" t="n">
        <x:f>INDEX('Bill Details'!$E$5:$E$563,MATCH(A60,'Bill Details'!$A$5:$A$563,0))</x:f>
        <x:v>46179</x:v>
      </x:c>
      <x:c r="E60" s="20" t="n">
        <x:f>TODAY()-D60</x:f>
        <x:v>56</x:v>
      </x:c>
    </x:row>
    <x:row r="61">
      <x:c r="A61" s="20" t="str">
        <x:v>Sarral Irrigations</x:v>
      </x:c>
      <x:c r="B61" s="20" t="n">
        <x:f>COUNTIF('Bill Details'!$A$5:$A$563,A61)</x:f>
        <x:v>2</x:v>
      </x:c>
      <x:c r="C61" s="23" t="n">
        <x:f>SUMIF('Bill Details'!$A$5:$A$563,A61,'Bill Details'!$D$5:$D$563)</x:f>
        <x:v>12444</x:v>
      </x:c>
      <x:c r="D61" s="26" t="n">
        <x:f>INDEX('Bill Details'!$E$5:$E$563,MATCH(A61,'Bill Details'!$A$5:$A$563,0))</x:f>
        <x:v>46182</x:v>
      </x:c>
      <x:c r="E61" s="20" t="n">
        <x:f>TODAY()-D61</x:f>
        <x:v>53</x:v>
      </x:c>
    </x:row>
    <x:row r="62">
      <x:c r="A62" s="20" t="str">
        <x:v>Martin Traders</x:v>
      </x:c>
      <x:c r="B62" s="20" t="n">
        <x:f>COUNTIF('Bill Details'!$A$5:$A$563,A62)</x:f>
        <x:v>1</x:v>
      </x:c>
      <x:c r="C62" s="23" t="n">
        <x:f>SUMIF('Bill Details'!$A$5:$A$563,A62,'Bill Details'!$D$5:$D$563)</x:f>
        <x:v>4500</x:v>
      </x:c>
      <x:c r="D62" s="26" t="n">
        <x:f>INDEX('Bill Details'!$E$5:$E$563,MATCH(A62,'Bill Details'!$A$5:$A$563,0))</x:f>
        <x:v>46183</x:v>
      </x:c>
      <x:c r="E62" s="20" t="n">
        <x:f>TODAY()-D62</x:f>
        <x:v>52</x:v>
      </x:c>
    </x:row>
    <x:row r="63">
      <x:c r="A63" s="20" t="str">
        <x:v>IES AGENCIES</x:v>
      </x:c>
      <x:c r="B63" s="20" t="n">
        <x:f>COUNTIF('Bill Details'!$A$5:$A$563,A63)</x:f>
        <x:v>3</x:v>
      </x:c>
      <x:c r="C63" s="23" t="n">
        <x:f>SUMIF('Bill Details'!$A$5:$A$563,A63,'Bill Details'!$D$5:$D$563)</x:f>
        <x:v>12136</x:v>
      </x:c>
      <x:c r="D63" s="26" t="n">
        <x:f>INDEX('Bill Details'!$E$5:$E$563,MATCH(A63,'Bill Details'!$A$5:$A$563,0))</x:f>
        <x:v>46184</x:v>
      </x:c>
      <x:c r="E63" s="20" t="n">
        <x:f>TODAY()-D63</x:f>
        <x:v>51</x:v>
      </x:c>
    </x:row>
    <x:row r="64">
      <x:c r="A64" s="20" t="str">
        <x:v>SANAA ENTERPRISES</x:v>
      </x:c>
      <x:c r="B64" s="20" t="n">
        <x:f>COUNTIF('Bill Details'!$A$5:$A$563,A64)</x:f>
        <x:v>1</x:v>
      </x:c>
      <x:c r="C64" s="23" t="n">
        <x:f>SUMIF('Bill Details'!$A$5:$A$563,A64,'Bill Details'!$D$5:$D$563)</x:f>
        <x:v>8000</x:v>
      </x:c>
      <x:c r="D64" s="26" t="n">
        <x:f>INDEX('Bill Details'!$E$5:$E$563,MATCH(A64,'Bill Details'!$A$5:$A$563,0))</x:f>
        <x:v>46184</x:v>
      </x:c>
      <x:c r="E64" s="20" t="n">
        <x:f>TODAY()-D64</x:f>
        <x:v>51</x:v>
      </x:c>
    </x:row>
    <x:row r="65">
      <x:c r="A65" s="20" t="str">
        <x:v>KOMARLA HATCHERIES</x:v>
      </x:c>
      <x:c r="B65" s="20" t="n">
        <x:f>COUNTIF('Bill Details'!$A$5:$A$563,A65)</x:f>
        <x:v>1</x:v>
      </x:c>
      <x:c r="C65" s="23" t="n">
        <x:f>SUMIF('Bill Details'!$A$5:$A$563,A65,'Bill Details'!$D$5:$D$563)</x:f>
        <x:v>1605</x:v>
      </x:c>
      <x:c r="D65" s="26" t="n">
        <x:f>INDEX('Bill Details'!$E$5:$E$563,MATCH(A65,'Bill Details'!$A$5:$A$563,0))</x:f>
        <x:v>46185</x:v>
      </x:c>
      <x:c r="E65" s="20" t="n">
        <x:f>TODAY()-D65</x:f>
        <x:v>50</x:v>
      </x:c>
    </x:row>
    <x:row r="66">
      <x:c r="A66" s="20" t="str">
        <x:v>COMET TOOLS AND HARDWARE STORES</x:v>
      </x:c>
      <x:c r="B66" s="20" t="n">
        <x:f>COUNTIF('Bill Details'!$A$5:$A$563,A66)</x:f>
        <x:v>5</x:v>
      </x:c>
      <x:c r="C66" s="23" t="n">
        <x:f>SUMIF('Bill Details'!$A$5:$A$563,A66,'Bill Details'!$D$5:$D$563)</x:f>
        <x:v>7349</x:v>
      </x:c>
      <x:c r="D66" s="26" t="n">
        <x:f>INDEX('Bill Details'!$E$5:$E$563,MATCH(A66,'Bill Details'!$A$5:$A$563,0))</x:f>
        <x:v>46186</x:v>
      </x:c>
      <x:c r="E66" s="20" t="n">
        <x:f>TODAY()-D66</x:f>
        <x:v>49</x:v>
      </x:c>
    </x:row>
    <x:row r="67">
      <x:c r="A67" s="20" t="str">
        <x:v>GIS Engineering Co</x:v>
      </x:c>
      <x:c r="B67" s="20" t="n">
        <x:f>COUNTIF('Bill Details'!$A$5:$A$563,A67)</x:f>
        <x:v>8</x:v>
      </x:c>
      <x:c r="C67" s="23" t="n">
        <x:f>SUMIF('Bill Details'!$A$5:$A$563,A67,'Bill Details'!$D$5:$D$563)</x:f>
        <x:v>67304</x:v>
      </x:c>
      <x:c r="D67" s="26" t="n">
        <x:f>INDEX('Bill Details'!$E$5:$E$563,MATCH(A67,'Bill Details'!$A$5:$A$563,0))</x:f>
        <x:v>46186</x:v>
      </x:c>
      <x:c r="E67" s="20" t="n">
        <x:f>TODAY()-D67</x:f>
        <x:v>49</x:v>
      </x:c>
    </x:row>
    <x:row r="68">
      <x:c r="A68" s="20" t="str">
        <x:v>Perfect Industrial Suppliers</x:v>
      </x:c>
      <x:c r="B68" s="20" t="n">
        <x:f>COUNTIF('Bill Details'!$A$5:$A$563,A68)</x:f>
        <x:v>2</x:v>
      </x:c>
      <x:c r="C68" s="23" t="n">
        <x:f>SUMIF('Bill Details'!$A$5:$A$563,A68,'Bill Details'!$D$5:$D$563)</x:f>
        <x:v>15171</x:v>
      </x:c>
      <x:c r="D68" s="26" t="n">
        <x:f>INDEX('Bill Details'!$E$5:$E$563,MATCH(A68,'Bill Details'!$A$5:$A$563,0))</x:f>
        <x:v>46186</x:v>
      </x:c>
      <x:c r="E68" s="20" t="n">
        <x:f>TODAY()-D68</x:f>
        <x:v>49</x:v>
      </x:c>
    </x:row>
    <x:row r="69">
      <x:c r="A69" s="20" t="str">
        <x:v>Amogha Polymers India Pvt Ltd</x:v>
      </x:c>
      <x:c r="B69" s="20" t="n">
        <x:f>COUNTIF('Bill Details'!$A$5:$A$563,A69)</x:f>
        <x:v>4</x:v>
      </x:c>
      <x:c r="C69" s="23" t="n">
        <x:f>SUMIF('Bill Details'!$A$5:$A$563,A69,'Bill Details'!$D$5:$D$563)</x:f>
        <x:v>12267</x:v>
      </x:c>
      <x:c r="D69" s="26" t="n">
        <x:f>INDEX('Bill Details'!$E$5:$E$563,MATCH(A69,'Bill Details'!$A$5:$A$563,0))</x:f>
        <x:v>46188</x:v>
      </x:c>
      <x:c r="E69" s="20" t="n">
        <x:f>TODAY()-D69</x:f>
        <x:v>47</x:v>
      </x:c>
    </x:row>
    <x:row r="70">
      <x:c r="A70" s="20" t="str">
        <x:v>Concord Fire and Safety Equipments</x:v>
      </x:c>
      <x:c r="B70" s="20" t="n">
        <x:f>COUNTIF('Bill Details'!$A$5:$A$563,A70)</x:f>
        <x:v>1</x:v>
      </x:c>
      <x:c r="C70" s="23" t="n">
        <x:f>SUMIF('Bill Details'!$A$5:$A$563,A70,'Bill Details'!$D$5:$D$563)</x:f>
        <x:v>3717</x:v>
      </x:c>
      <x:c r="D70" s="26" t="n">
        <x:f>INDEX('Bill Details'!$E$5:$E$563,MATCH(A70,'Bill Details'!$A$5:$A$563,0))</x:f>
        <x:v>46191</x:v>
      </x:c>
      <x:c r="E70" s="20" t="n">
        <x:f>TODAY()-D70</x:f>
        <x:v>44</x:v>
      </x:c>
    </x:row>
    <x:row r="71">
      <x:c r="A71" s="20" t="str">
        <x:v>Hitech Engineering Works</x:v>
      </x:c>
      <x:c r="B71" s="20" t="n">
        <x:f>COUNTIF('Bill Details'!$A$5:$A$563,A71)</x:f>
        <x:v>3</x:v>
      </x:c>
      <x:c r="C71" s="23" t="n">
        <x:f>SUMIF('Bill Details'!$A$5:$A$563,A71,'Bill Details'!$D$5:$D$563)</x:f>
        <x:v>3365</x:v>
      </x:c>
      <x:c r="D71" s="26" t="n">
        <x:f>INDEX('Bill Details'!$E$5:$E$563,MATCH(A71,'Bill Details'!$A$5:$A$563,0))</x:f>
        <x:v>46191</x:v>
      </x:c>
      <x:c r="E71" s="20" t="n">
        <x:f>TODAY()-D71</x:f>
        <x:v>44</x:v>
      </x:c>
    </x:row>
    <x:row r="72">
      <x:c r="A72" s="20" t="str">
        <x:v>Sangamam Agencies</x:v>
      </x:c>
      <x:c r="B72" s="20" t="n">
        <x:f>COUNTIF('Bill Details'!$A$5:$A$563,A72)</x:f>
        <x:v>1</x:v>
      </x:c>
      <x:c r="C72" s="23" t="n">
        <x:f>SUMIF('Bill Details'!$A$5:$A$563,A72,'Bill Details'!$D$5:$D$563)</x:f>
        <x:v>5403</x:v>
      </x:c>
      <x:c r="D72" s="26" t="n">
        <x:f>INDEX('Bill Details'!$E$5:$E$563,MATCH(A72,'Bill Details'!$A$5:$A$563,0))</x:f>
        <x:v>46195</x:v>
      </x:c>
      <x:c r="E72" s="20" t="n">
        <x:f>TODAY()-D72</x:f>
        <x:v>40</x:v>
      </x:c>
    </x:row>
    <x:row r="73">
      <x:c r="A73" s="20" t="str">
        <x:v>SRI VIGNESWARAN AAGENCIES</x:v>
      </x:c>
      <x:c r="B73" s="20" t="n">
        <x:f>COUNTIF('Bill Details'!$A$5:$A$563,A73)</x:f>
        <x:v>1</x:v>
      </x:c>
      <x:c r="C73" s="23" t="n">
        <x:f>SUMIF('Bill Details'!$A$5:$A$563,A73,'Bill Details'!$D$5:$D$563)</x:f>
        <x:v>7080</x:v>
      </x:c>
      <x:c r="D73" s="26" t="n">
        <x:f>INDEX('Bill Details'!$E$5:$E$563,MATCH(A73,'Bill Details'!$A$5:$A$563,0))</x:f>
        <x:v>46195</x:v>
      </x:c>
      <x:c r="E73" s="20" t="n">
        <x:f>TODAY()-D73</x:f>
        <x:v>40</x:v>
      </x:c>
    </x:row>
    <x:row r="74">
      <x:c r="A74" s="20" t="str">
        <x:v>General Industrial Suppliers</x:v>
      </x:c>
      <x:c r="B74" s="20" t="n">
        <x:f>COUNTIF('Bill Details'!$A$5:$A$563,A74)</x:f>
        <x:v>8</x:v>
      </x:c>
      <x:c r="C74" s="23" t="n">
        <x:f>SUMIF('Bill Details'!$A$5:$A$563,A74,'Bill Details'!$D$5:$D$563)</x:f>
        <x:v>145391</x:v>
      </x:c>
      <x:c r="D74" s="26" t="n">
        <x:f>INDEX('Bill Details'!$E$5:$E$563,MATCH(A74,'Bill Details'!$A$5:$A$563,0))</x:f>
        <x:v>46198</x:v>
      </x:c>
      <x:c r="E74" s="20" t="n">
        <x:f>TODAY()-D74</x:f>
        <x:v>37</x:v>
      </x:c>
    </x:row>
    <x:row r="75">
      <x:c r="A75" s="20" t="str">
        <x:v>Integrated Pacline India Private Limited</x:v>
      </x:c>
      <x:c r="B75" s="20" t="n">
        <x:f>COUNTIF('Bill Details'!$A$5:$A$563,A75)</x:f>
        <x:v>10</x:v>
      </x:c>
      <x:c r="C75" s="23" t="n">
        <x:f>SUMIF('Bill Details'!$A$5:$A$563,A75,'Bill Details'!$D$5:$D$563)</x:f>
        <x:v>180026</x:v>
      </x:c>
      <x:c r="D75" s="26" t="n">
        <x:f>INDEX('Bill Details'!$E$5:$E$563,MATCH(A75,'Bill Details'!$A$5:$A$563,0))</x:f>
        <x:v>46198</x:v>
      </x:c>
      <x:c r="E75" s="20" t="n">
        <x:f>TODAY()-D75</x:f>
        <x:v>37</x:v>
      </x:c>
    </x:row>
    <x:row r="76">
      <x:c r="A76" s="20" t="str">
        <x:v>Popular Engineering Stores</x:v>
      </x:c>
      <x:c r="B76" s="20" t="n">
        <x:f>COUNTIF('Bill Details'!$A$5:$A$563,A76)</x:f>
        <x:v>2</x:v>
      </x:c>
      <x:c r="C76" s="23" t="n">
        <x:f>SUMIF('Bill Details'!$A$5:$A$563,A76,'Bill Details'!$D$5:$D$563)</x:f>
        <x:v>15925</x:v>
      </x:c>
      <x:c r="D76" s="26" t="n">
        <x:f>INDEX('Bill Details'!$E$5:$E$563,MATCH(A76,'Bill Details'!$A$5:$A$563,0))</x:f>
        <x:v>46198</x:v>
      </x:c>
      <x:c r="E76" s="20" t="n">
        <x:f>TODAY()-D76</x:f>
        <x:v>37</x:v>
      </x:c>
    </x:row>
    <x:row r="77">
      <x:c r="A77" s="20" t="str">
        <x:v>Saif Industrial Supply Co</x:v>
      </x:c>
      <x:c r="B77" s="20" t="n">
        <x:f>COUNTIF('Bill Details'!$A$5:$A$563,A77)</x:f>
        <x:v>2</x:v>
      </x:c>
      <x:c r="C77" s="23" t="n">
        <x:f>SUMIF('Bill Details'!$A$5:$A$563,A77,'Bill Details'!$D$5:$D$563)</x:f>
        <x:v>4700</x:v>
      </x:c>
      <x:c r="D77" s="26" t="n">
        <x:f>INDEX('Bill Details'!$E$5:$E$563,MATCH(A77,'Bill Details'!$A$5:$A$563,0))</x:f>
        <x:v>46198</x:v>
      </x:c>
      <x:c r="E77" s="20" t="n">
        <x:f>TODAY()-D77</x:f>
        <x:v>37</x:v>
      </x:c>
    </x:row>
    <x:row r="78">
      <x:c r="A78" s="20" t="str">
        <x:v>MB Tools Corporation</x:v>
      </x:c>
      <x:c r="B78" s="20" t="n">
        <x:f>COUNTIF('Bill Details'!$A$5:$A$563,A78)</x:f>
        <x:v>1</x:v>
      </x:c>
      <x:c r="C78" s="23" t="n">
        <x:f>SUMIF('Bill Details'!$A$5:$A$563,A78,'Bill Details'!$D$5:$D$563)</x:f>
        <x:v>1200</x:v>
      </x:c>
      <x:c r="D78" s="26" t="n">
        <x:f>INDEX('Bill Details'!$E$5:$E$563,MATCH(A78,'Bill Details'!$A$5:$A$563,0))</x:f>
        <x:v>46199</x:v>
      </x:c>
      <x:c r="E78" s="20" t="n">
        <x:f>TODAY()-D78</x:f>
        <x:v>36</x:v>
      </x:c>
    </x:row>
    <x:row r="79">
      <x:c r="A79" s="20" t="str">
        <x:v>Hardware Tools &amp; Machinery Mart</x:v>
      </x:c>
      <x:c r="B79" s="20" t="n">
        <x:f>COUNTIF('Bill Details'!$A$5:$A$563,A79)</x:f>
        <x:v>1</x:v>
      </x:c>
      <x:c r="C79" s="23" t="n">
        <x:f>SUMIF('Bill Details'!$A$5:$A$563,A79,'Bill Details'!$D$5:$D$563)</x:f>
        <x:v>3186</x:v>
      </x:c>
      <x:c r="D79" s="26" t="n">
        <x:f>INDEX('Bill Details'!$E$5:$E$563,MATCH(A79,'Bill Details'!$A$5:$A$563,0))</x:f>
        <x:v>46200</x:v>
      </x:c>
      <x:c r="E79" s="20" t="n">
        <x:f>TODAY()-D79</x:f>
        <x:v>35</x:v>
      </x:c>
    </x:row>
    <x:row r="80">
      <x:c r="A80" s="20" t="str">
        <x:v>Prime Trading Company</x:v>
      </x:c>
      <x:c r="B80" s="20" t="n">
        <x:f>COUNTIF('Bill Details'!$A$5:$A$563,A80)</x:f>
        <x:v>5</x:v>
      </x:c>
      <x:c r="C80" s="23" t="n">
        <x:f>SUMIF('Bill Details'!$A$5:$A$563,A80,'Bill Details'!$D$5:$D$563)</x:f>
        <x:v>107502</x:v>
      </x:c>
      <x:c r="D80" s="26" t="n">
        <x:f>INDEX('Bill Details'!$E$5:$E$563,MATCH(A80,'Bill Details'!$A$5:$A$563,0))</x:f>
        <x:v>46200</x:v>
      </x:c>
      <x:c r="E80" s="20" t="n">
        <x:f>TODAY()-D80</x:f>
        <x:v>35</x:v>
      </x:c>
    </x:row>
    <x:row r="81">
      <x:c r="A81" s="20" t="str">
        <x:v>Triumph Trading Company</x:v>
      </x:c>
      <x:c r="B81" s="20" t="n">
        <x:f>COUNTIF('Bill Details'!$A$5:$A$563,A81)</x:f>
        <x:v>6</x:v>
      </x:c>
      <x:c r="C81" s="23" t="n">
        <x:f>SUMIF('Bill Details'!$A$5:$A$563,A81,'Bill Details'!$D$5:$D$563)</x:f>
        <x:v>29138</x:v>
      </x:c>
      <x:c r="D81" s="26" t="n">
        <x:f>INDEX('Bill Details'!$E$5:$E$563,MATCH(A81,'Bill Details'!$A$5:$A$563,0))</x:f>
        <x:v>46200</x:v>
      </x:c>
      <x:c r="E81" s="20" t="n">
        <x:f>TODAY()-D81</x:f>
        <x:v>35</x:v>
      </x:c>
    </x:row>
    <x:row r="82">
      <x:c r="A82" s="20" t="str">
        <x:v>Meem Bay Enterprises</x:v>
      </x:c>
      <x:c r="B82" s="20" t="n">
        <x:f>COUNTIF('Bill Details'!$A$5:$A$563,A82)</x:f>
        <x:v>1</x:v>
      </x:c>
      <x:c r="C82" s="23" t="n">
        <x:f>SUMIF('Bill Details'!$A$5:$A$563,A82,'Bill Details'!$D$5:$D$563)</x:f>
        <x:v>3150</x:v>
      </x:c>
      <x:c r="D82" s="26" t="n">
        <x:f>INDEX('Bill Details'!$E$5:$E$563,MATCH(A82,'Bill Details'!$A$5:$A$563,0))</x:f>
        <x:v>46203</x:v>
      </x:c>
      <x:c r="E82" s="20" t="n">
        <x:f>TODAY()-D82</x:f>
        <x:v>32</x:v>
      </x:c>
    </x:row>
    <x:row r="83">
      <x:c r="A83" s="20" t="str">
        <x:v>Pavithra and Co</x:v>
      </x:c>
      <x:c r="B83" s="20" t="n">
        <x:f>COUNTIF('Bill Details'!$A$5:$A$563,A83)</x:f>
        <x:v>1</x:v>
      </x:c>
      <x:c r="C83" s="23" t="n">
        <x:f>SUMIF('Bill Details'!$A$5:$A$563,A83,'Bill Details'!$D$5:$D$563)</x:f>
        <x:v>7357</x:v>
      </x:c>
      <x:c r="D83" s="26" t="n">
        <x:f>INDEX('Bill Details'!$E$5:$E$563,MATCH(A83,'Bill Details'!$A$5:$A$563,0))</x:f>
        <x:v>46203</x:v>
      </x:c>
      <x:c r="E83" s="20" t="n">
        <x:f>TODAY()-D83</x:f>
        <x:v>32</x:v>
      </x:c>
    </x:row>
    <x:row r="84">
      <x:c r="A84" s="20" t="str">
        <x:v>Saif Tools &amp; Machineries</x:v>
      </x:c>
      <x:c r="B84" s="20" t="n">
        <x:f>COUNTIF('Bill Details'!$A$5:$A$563,A84)</x:f>
        <x:v>1</x:v>
      </x:c>
      <x:c r="C84" s="23" t="n">
        <x:f>SUMIF('Bill Details'!$A$5:$A$563,A84,'Bill Details'!$D$5:$D$563)</x:f>
        <x:v>1040</x:v>
      </x:c>
      <x:c r="D84" s="26" t="n">
        <x:f>INDEX('Bill Details'!$E$5:$E$563,MATCH(A84,'Bill Details'!$A$5:$A$563,0))</x:f>
        <x:v>46204</x:v>
      </x:c>
      <x:c r="E84" s="20" t="n">
        <x:f>TODAY()-D84</x:f>
        <x:v>31</x:v>
      </x:c>
    </x:row>
    <x:row r="85">
      <x:c r="A85" s="20" t="str">
        <x:v>TOTAR FABS ENI PRIVATE LIMITED</x:v>
      </x:c>
      <x:c r="B85" s="20" t="n">
        <x:f>COUNTIF('Bill Details'!$A$5:$A$563,A85)</x:f>
        <x:v>3</x:v>
      </x:c>
      <x:c r="C85" s="23" t="n">
        <x:f>SUMIF('Bill Details'!$A$5:$A$563,A85,'Bill Details'!$D$5:$D$563)</x:f>
        <x:v>7480</x:v>
      </x:c>
      <x:c r="D85" s="26" t="n">
        <x:f>INDEX('Bill Details'!$E$5:$E$563,MATCH(A85,'Bill Details'!$A$5:$A$563,0))</x:f>
        <x:v>46204</x:v>
      </x:c>
      <x:c r="E85" s="20" t="n">
        <x:f>TODAY()-D85</x:f>
        <x:v>31</x:v>
      </x:c>
    </x:row>
    <x:row r="86">
      <x:c r="A86" s="20" t="str">
        <x:v>Fairdeal Industrial Suppliers</x:v>
      </x:c>
      <x:c r="B86" s="20" t="n">
        <x:f>COUNTIF('Bill Details'!$A$5:$A$563,A86)</x:f>
        <x:v>3</x:v>
      </x:c>
      <x:c r="C86" s="23" t="n">
        <x:f>SUMIF('Bill Details'!$A$5:$A$563,A86,'Bill Details'!$D$5:$D$563)</x:f>
        <x:v>30500</x:v>
      </x:c>
      <x:c r="D86" s="26" t="n">
        <x:f>INDEX('Bill Details'!$E$5:$E$563,MATCH(A86,'Bill Details'!$A$5:$A$563,0))</x:f>
        <x:v>46205</x:v>
      </x:c>
      <x:c r="E86" s="20" t="n">
        <x:f>TODAY()-D86</x:f>
        <x:v>30</x:v>
      </x:c>
    </x:row>
    <x:row r="87">
      <x:c r="A87" s="20" t="str">
        <x:v>PRESSANA MOTORS</x:v>
      </x:c>
      <x:c r="B87" s="20" t="n">
        <x:f>COUNTIF('Bill Details'!$A$5:$A$563,A87)</x:f>
        <x:v>1</x:v>
      </x:c>
      <x:c r="C87" s="23" t="n">
        <x:f>SUMIF('Bill Details'!$A$5:$A$563,A87,'Bill Details'!$D$5:$D$563)</x:f>
        <x:v>295</x:v>
      </x:c>
      <x:c r="D87" s="26" t="n">
        <x:f>INDEX('Bill Details'!$E$5:$E$563,MATCH(A87,'Bill Details'!$A$5:$A$563,0))</x:f>
        <x:v>46206</x:v>
      </x:c>
      <x:c r="E87" s="20" t="n">
        <x:f>TODAY()-D87</x:f>
        <x:v>29</x:v>
      </x:c>
    </x:row>
    <x:row r="88">
      <x:c r="A88" s="20" t="str">
        <x:v>PRESSANA POULTRY FARMS</x:v>
      </x:c>
      <x:c r="B88" s="20" t="n">
        <x:f>COUNTIF('Bill Details'!$A$5:$A$563,A88)</x:f>
        <x:v>1</x:v>
      </x:c>
      <x:c r="C88" s="23" t="n">
        <x:f>SUMIF('Bill Details'!$A$5:$A$563,A88,'Bill Details'!$D$5:$D$563)</x:f>
        <x:v>2832</x:v>
      </x:c>
      <x:c r="D88" s="26" t="n">
        <x:f>INDEX('Bill Details'!$E$5:$E$563,MATCH(A88,'Bill Details'!$A$5:$A$563,0))</x:f>
        <x:v>46206</x:v>
      </x:c>
      <x:c r="E88" s="20" t="n">
        <x:f>TODAY()-D88</x:f>
        <x:v>29</x:v>
      </x:c>
    </x:row>
    <x:row r="89">
      <x:c r="A89" s="20" t="str">
        <x:v>SHIBAM ENGINEERING &amp; PNEUMATICS</x:v>
      </x:c>
      <x:c r="B89" s="20" t="n">
        <x:f>COUNTIF('Bill Details'!$A$5:$A$563,A89)</x:f>
        <x:v>1</x:v>
      </x:c>
      <x:c r="C89" s="23" t="n">
        <x:f>SUMIF('Bill Details'!$A$5:$A$563,A89,'Bill Details'!$D$5:$D$563)</x:f>
        <x:v>2880</x:v>
      </x:c>
      <x:c r="D89" s="26" t="n">
        <x:f>INDEX('Bill Details'!$E$5:$E$563,MATCH(A89,'Bill Details'!$A$5:$A$563,0))</x:f>
        <x:v>46207</x:v>
      </x:c>
      <x:c r="E89" s="20" t="n">
        <x:f>TODAY()-D89</x:f>
        <x:v>28</x:v>
      </x:c>
    </x:row>
    <x:row r="90">
      <x:c r="A90" s="20" t="str">
        <x:v>SHANTHI ELECTRICALS AND HARDWARES</x:v>
      </x:c>
      <x:c r="B90" s="20" t="n">
        <x:f>COUNTIF('Bill Details'!$A$5:$A$563,A90)</x:f>
        <x:v>5</x:v>
      </x:c>
      <x:c r="C90" s="23" t="n">
        <x:f>SUMIF('Bill Details'!$A$5:$A$563,A90,'Bill Details'!$D$5:$D$563)</x:f>
        <x:v>8878</x:v>
      </x:c>
      <x:c r="D90" s="26" t="n">
        <x:f>INDEX('Bill Details'!$E$5:$E$563,MATCH(A90,'Bill Details'!$A$5:$A$563,0))</x:f>
        <x:v>46209</x:v>
      </x:c>
      <x:c r="E90" s="20" t="n">
        <x:f>TODAY()-D90</x:f>
        <x:v>26</x:v>
      </x:c>
    </x:row>
    <x:row r="91">
      <x:c r="A91" s="20" t="str">
        <x:v>TAHERI HARDWARE MART</x:v>
      </x:c>
      <x:c r="B91" s="20" t="n">
        <x:f>COUNTIF('Bill Details'!$A$5:$A$563,A91)</x:f>
        <x:v>1</x:v>
      </x:c>
      <x:c r="C91" s="23" t="n">
        <x:f>SUMIF('Bill Details'!$A$5:$A$563,A91,'Bill Details'!$D$5:$D$563)</x:f>
        <x:v>2360</x:v>
      </x:c>
      <x:c r="D91" s="26" t="n">
        <x:f>INDEX('Bill Details'!$E$5:$E$563,MATCH(A91,'Bill Details'!$A$5:$A$563,0))</x:f>
        <x:v>46209</x:v>
      </x:c>
      <x:c r="E91" s="20" t="n">
        <x:f>TODAY()-D91</x:f>
        <x:v>26</x:v>
      </x:c>
    </x:row>
    <x:row r="92">
      <x:c r="A92" s="20" t="str">
        <x:v>Kapadiya Tools Syndicate</x:v>
      </x:c>
      <x:c r="B92" s="20" t="n">
        <x:f>COUNTIF('Bill Details'!$A$5:$A$563,A92)</x:f>
        <x:v>1</x:v>
      </x:c>
      <x:c r="C92" s="23" t="n">
        <x:f>SUMIF('Bill Details'!$A$5:$A$563,A92,'Bill Details'!$D$5:$D$563)</x:f>
        <x:v>675</x:v>
      </x:c>
      <x:c r="D92" s="26" t="n">
        <x:f>INDEX('Bill Details'!$E$5:$E$563,MATCH(A92,'Bill Details'!$A$5:$A$563,0))</x:f>
        <x:v>46210</x:v>
      </x:c>
      <x:c r="E92" s="20" t="n">
        <x:f>TODAY()-D92</x:f>
        <x:v>25</x:v>
      </x:c>
    </x:row>
    <x:row r="93">
      <x:c r="A93" s="20" t="str">
        <x:v>Magnic Technologies Pvt Ltd</x:v>
      </x:c>
      <x:c r="B93" s="20" t="n">
        <x:f>COUNTIF('Bill Details'!$A$5:$A$563,A93)</x:f>
        <x:v>1</x:v>
      </x:c>
      <x:c r="C93" s="23" t="n">
        <x:f>SUMIF('Bill Details'!$A$5:$A$563,A93,'Bill Details'!$D$5:$D$563)</x:f>
        <x:v>7670</x:v>
      </x:c>
      <x:c r="D93" s="26" t="n">
        <x:f>INDEX('Bill Details'!$E$5:$E$563,MATCH(A93,'Bill Details'!$A$5:$A$563,0))</x:f>
        <x:v>46210</x:v>
      </x:c>
      <x:c r="E93" s="20" t="n">
        <x:f>TODAY()-D93</x:f>
        <x:v>25</x:v>
      </x:c>
    </x:row>
    <x:row r="94">
      <x:c r="A94" s="20" t="str">
        <x:v>AM Machine Tools Centre</x:v>
      </x:c>
      <x:c r="B94" s="20" t="n">
        <x:f>COUNTIF('Bill Details'!$A$5:$A$563,A94)</x:f>
        <x:v>2</x:v>
      </x:c>
      <x:c r="C94" s="23" t="n">
        <x:f>SUMIF('Bill Details'!$A$5:$A$563,A94,'Bill Details'!$D$5:$D$563)</x:f>
        <x:v>17788</x:v>
      </x:c>
      <x:c r="D94" s="26" t="n">
        <x:f>INDEX('Bill Details'!$E$5:$E$563,MATCH(A94,'Bill Details'!$A$5:$A$563,0))</x:f>
        <x:v>46211</x:v>
      </x:c>
      <x:c r="E94" s="20" t="n">
        <x:f>TODAY()-D94</x:f>
        <x:v>24</x:v>
      </x:c>
    </x:row>
    <x:row r="95">
      <x:c r="A95" s="20" t="str">
        <x:v>SK SHRI KUMARAN ELECTRICALS LIGHTS AND PLUMBING</x:v>
      </x:c>
      <x:c r="B95" s="20" t="n">
        <x:f>COUNTIF('Bill Details'!$A$5:$A$563,A95)</x:f>
        <x:v>1</x:v>
      </x:c>
      <x:c r="C95" s="23" t="n">
        <x:f>SUMIF('Bill Details'!$A$5:$A$563,A95,'Bill Details'!$D$5:$D$563)</x:f>
        <x:v>19057</x:v>
      </x:c>
      <x:c r="D95" s="26" t="n">
        <x:f>INDEX('Bill Details'!$E$5:$E$563,MATCH(A95,'Bill Details'!$A$5:$A$563,0))</x:f>
        <x:v>46212</x:v>
      </x:c>
      <x:c r="E95" s="20" t="n">
        <x:f>TODAY()-D95</x:f>
        <x:v>23</x:v>
      </x:c>
    </x:row>
    <x:row r="96">
      <x:c r="A96" s="20" t="str">
        <x:v>Sri Krishna Wire Netting Company</x:v>
      </x:c>
      <x:c r="B96" s="20" t="n">
        <x:f>COUNTIF('Bill Details'!$A$5:$A$563,A96)</x:f>
        <x:v>1</x:v>
      </x:c>
      <x:c r="C96" s="23" t="n">
        <x:f>SUMIF('Bill Details'!$A$5:$A$563,A96,'Bill Details'!$D$5:$D$563)</x:f>
        <x:v>23100</x:v>
      </x:c>
      <x:c r="D96" s="26" t="n">
        <x:f>INDEX('Bill Details'!$E$5:$E$563,MATCH(A96,'Bill Details'!$A$5:$A$563,0))</x:f>
        <x:v>46212</x:v>
      </x:c>
      <x:c r="E96" s="20" t="n">
        <x:f>TODAY()-D96</x:f>
        <x:v>23</x:v>
      </x:c>
    </x:row>
    <x:row r="97">
      <x:c r="A97" s="20" t="str">
        <x:v>Universal Machinery and Hardware Mart</x:v>
      </x:c>
      <x:c r="B97" s="20" t="n">
        <x:f>COUNTIF('Bill Details'!$A$5:$A$563,A97)</x:f>
        <x:v>1</x:v>
      </x:c>
      <x:c r="C97" s="23" t="n">
        <x:f>SUMIF('Bill Details'!$A$5:$A$563,A97,'Bill Details'!$D$5:$D$563)</x:f>
        <x:v>1448</x:v>
      </x:c>
      <x:c r="D97" s="26" t="n">
        <x:f>INDEX('Bill Details'!$E$5:$E$563,MATCH(A97,'Bill Details'!$A$5:$A$563,0))</x:f>
        <x:v>46212</x:v>
      </x:c>
      <x:c r="E97" s="20" t="n">
        <x:f>TODAY()-D97</x:f>
        <x:v>23</x:v>
      </x:c>
    </x:row>
    <x:row r="98">
      <x:c r="A98" s="20" t="str">
        <x:v>Arun Rega Bakery Machineries PVT LTD UNIT-II</x:v>
      </x:c>
      <x:c r="B98" s="20" t="n">
        <x:f>COUNTIF('Bill Details'!$A$5:$A$563,A98)</x:f>
        <x:v>1</x:v>
      </x:c>
      <x:c r="C98" s="23" t="n">
        <x:f>SUMIF('Bill Details'!$A$5:$A$563,A98,'Bill Details'!$D$5:$D$563)</x:f>
        <x:v>1238</x:v>
      </x:c>
      <x:c r="D98" s="26" t="n">
        <x:f>INDEX('Bill Details'!$E$5:$E$563,MATCH(A98,'Bill Details'!$A$5:$A$563,0))</x:f>
        <x:v>46213</x:v>
      </x:c>
      <x:c r="E98" s="20" t="n">
        <x:f>TODAY()-D98</x:f>
        <x:v>22</x:v>
      </x:c>
    </x:row>
    <x:row r="99">
      <x:c r="A99" s="20" t="str">
        <x:v>Union Enterprises</x:v>
      </x:c>
      <x:c r="B99" s="20" t="n">
        <x:f>COUNTIF('Bill Details'!$A$5:$A$563,A99)</x:f>
        <x:v>2</x:v>
      </x:c>
      <x:c r="C99" s="23" t="n">
        <x:f>SUMIF('Bill Details'!$A$5:$A$563,A99,'Bill Details'!$D$5:$D$563)</x:f>
        <x:v>23173</x:v>
      </x:c>
      <x:c r="D99" s="26" t="n">
        <x:f>INDEX('Bill Details'!$E$5:$E$563,MATCH(A99,'Bill Details'!$A$5:$A$563,0))</x:f>
        <x:v>46213</x:v>
      </x:c>
      <x:c r="E99" s="20" t="n">
        <x:f>TODAY()-D99</x:f>
        <x:v>22</x:v>
      </x:c>
    </x:row>
    <x:row r="100">
      <x:c r="A100" s="20" t="str">
        <x:v>Al Anwar Industrial Stores</x:v>
      </x:c>
      <x:c r="B100" s="20" t="n">
        <x:f>COUNTIF('Bill Details'!$A$5:$A$563,A100)</x:f>
        <x:v>5</x:v>
      </x:c>
      <x:c r="C100" s="23" t="n">
        <x:f>SUMIF('Bill Details'!$A$5:$A$563,A100,'Bill Details'!$D$5:$D$563)</x:f>
        <x:v>26244</x:v>
      </x:c>
      <x:c r="D100" s="26" t="n">
        <x:f>INDEX('Bill Details'!$E$5:$E$563,MATCH(A100,'Bill Details'!$A$5:$A$563,0))</x:f>
        <x:v>46214</x:v>
      </x:c>
      <x:c r="E100" s="20" t="n">
        <x:f>TODAY()-D100</x:f>
        <x:v>21</x:v>
      </x:c>
    </x:row>
    <x:row r="101">
      <x:c r="A101" s="20" t="str">
        <x:v>IMANI AND CO</x:v>
      </x:c>
      <x:c r="B101" s="20" t="n">
        <x:f>COUNTIF('Bill Details'!$A$5:$A$563,A101)</x:f>
        <x:v>1</x:v>
      </x:c>
      <x:c r="C101" s="23" t="n">
        <x:f>SUMIF('Bill Details'!$A$5:$A$563,A101,'Bill Details'!$D$5:$D$563)</x:f>
        <x:v>178</x:v>
      </x:c>
      <x:c r="D101" s="26" t="n">
        <x:f>INDEX('Bill Details'!$E$5:$E$563,MATCH(A101,'Bill Details'!$A$5:$A$563,0))</x:f>
        <x:v>46214</x:v>
      </x:c>
      <x:c r="E101" s="20" t="n">
        <x:f>TODAY()-D101</x:f>
        <x:v>21</x:v>
      </x:c>
    </x:row>
    <x:row r="102">
      <x:c r="A102" s="20" t="str">
        <x:v>Abbas Marketing</x:v>
      </x:c>
      <x:c r="B102" s="20" t="n">
        <x:f>COUNTIF('Bill Details'!$A$5:$A$563,A102)</x:f>
        <x:v>1</x:v>
      </x:c>
      <x:c r="C102" s="23" t="n">
        <x:f>SUMIF('Bill Details'!$A$5:$A$563,A102,'Bill Details'!$D$5:$D$563)</x:f>
        <x:v>338</x:v>
      </x:c>
      <x:c r="D102" s="26" t="n">
        <x:f>INDEX('Bill Details'!$E$5:$E$563,MATCH(A102,'Bill Details'!$A$5:$A$563,0))</x:f>
        <x:v>46216</x:v>
      </x:c>
      <x:c r="E102" s="20" t="n">
        <x:f>TODAY()-D102</x:f>
        <x:v>19</x:v>
      </x:c>
    </x:row>
    <x:row r="103">
      <x:c r="A103" s="20" t="str">
        <x:v>HINDUSTAN AUTOMATIONS</x:v>
      </x:c>
      <x:c r="B103" s="20" t="n">
        <x:f>COUNTIF('Bill Details'!$A$5:$A$563,A103)</x:f>
        <x:v>3</x:v>
      </x:c>
      <x:c r="C103" s="23" t="n">
        <x:f>SUMIF('Bill Details'!$A$5:$A$563,A103,'Bill Details'!$D$5:$D$563)</x:f>
        <x:v>22266</x:v>
      </x:c>
      <x:c r="D103" s="26" t="n">
        <x:f>INDEX('Bill Details'!$E$5:$E$563,MATCH(A103,'Bill Details'!$A$5:$A$563,0))</x:f>
        <x:v>46216</x:v>
      </x:c>
      <x:c r="E103" s="20" t="n">
        <x:f>TODAY()-D103</x:f>
        <x:v>19</x:v>
      </x:c>
    </x:row>
    <x:row r="104">
      <x:c r="A104" s="20" t="str">
        <x:v>CARBURE ACTIVATED CARBON PRIVATE LIMITED</x:v>
      </x:c>
      <x:c r="B104" s="20" t="n">
        <x:f>COUNTIF('Bill Details'!$A$5:$A$563,A104)</x:f>
        <x:v>1</x:v>
      </x:c>
      <x:c r="C104" s="23" t="n">
        <x:f>SUMIF('Bill Details'!$A$5:$A$563,A104,'Bill Details'!$D$5:$D$563)</x:f>
        <x:v>899</x:v>
      </x:c>
      <x:c r="D104" s="26" t="n">
        <x:f>INDEX('Bill Details'!$E$5:$E$563,MATCH(A104,'Bill Details'!$A$5:$A$563,0))</x:f>
        <x:v>46217</x:v>
      </x:c>
      <x:c r="E104" s="20" t="n">
        <x:f>TODAY()-D104</x:f>
        <x:v>18</x:v>
      </x:c>
    </x:row>
    <x:row r="105">
      <x:c r="A105" s="20" t="str">
        <x:v>Coptech Wire &amp; Cable Private Limited W</x:v>
      </x:c>
      <x:c r="B105" s="20" t="n">
        <x:f>COUNTIF('Bill Details'!$A$5:$A$563,A105)</x:f>
        <x:v>2</x:v>
      </x:c>
      <x:c r="C105" s="23" t="n">
        <x:f>SUMIF('Bill Details'!$A$5:$A$563,A105,'Bill Details'!$D$5:$D$563)</x:f>
        <x:v>8298</x:v>
      </x:c>
      <x:c r="D105" s="26" t="n">
        <x:f>INDEX('Bill Details'!$E$5:$E$563,MATCH(A105,'Bill Details'!$A$5:$A$563,0))</x:f>
        <x:v>46217</x:v>
      </x:c>
      <x:c r="E105" s="20" t="n">
        <x:f>TODAY()-D105</x:f>
        <x:v>18</x:v>
      </x:c>
    </x:row>
    <x:row r="106">
      <x:c r="A106" s="20" t="str">
        <x:v>Y M Tools Traders</x:v>
      </x:c>
      <x:c r="B106" s="20" t="n">
        <x:f>COUNTIF('Bill Details'!$A$5:$A$563,A106)</x:f>
        <x:v>2</x:v>
      </x:c>
      <x:c r="C106" s="23" t="n">
        <x:f>SUMIF('Bill Details'!$A$5:$A$563,A106,'Bill Details'!$D$5:$D$563)</x:f>
        <x:v>13872</x:v>
      </x:c>
      <x:c r="D106" s="26" t="n">
        <x:f>INDEX('Bill Details'!$E$5:$E$563,MATCH(A106,'Bill Details'!$A$5:$A$563,0))</x:f>
        <x:v>46217</x:v>
      </x:c>
      <x:c r="E106" s="20" t="n">
        <x:f>TODAY()-D106</x:f>
        <x:v>18</x:v>
      </x:c>
    </x:row>
    <x:row r="107">
      <x:c r="A107" s="20" t="str">
        <x:v>Al Massaar Trading Company</x:v>
      </x:c>
      <x:c r="B107" s="20" t="n">
        <x:f>COUNTIF('Bill Details'!$A$5:$A$563,A107)</x:f>
        <x:v>1</x:v>
      </x:c>
      <x:c r="C107" s="23" t="n">
        <x:f>SUMIF('Bill Details'!$A$5:$A$563,A107,'Bill Details'!$D$5:$D$563)</x:f>
        <x:v>1770</x:v>
      </x:c>
      <x:c r="D107" s="26" t="n">
        <x:f>INDEX('Bill Details'!$E$5:$E$563,MATCH(A107,'Bill Details'!$A$5:$A$563,0))</x:f>
        <x:v>46218</x:v>
      </x:c>
      <x:c r="E107" s="20" t="n">
        <x:f>TODAY()-D107</x:f>
        <x:v>17</x:v>
      </x:c>
    </x:row>
    <x:row r="108">
      <x:c r="A108" s="20" t="str">
        <x:v>Destrezzza art house Pvt Ltd</x:v>
      </x:c>
      <x:c r="B108" s="20" t="n">
        <x:f>COUNTIF('Bill Details'!$A$5:$A$563,A108)</x:f>
        <x:v>1</x:v>
      </x:c>
      <x:c r="C108" s="23" t="n">
        <x:f>SUMIF('Bill Details'!$A$5:$A$563,A108,'Bill Details'!$D$5:$D$563)</x:f>
        <x:v>55394</x:v>
      </x:c>
      <x:c r="D108" s="26" t="n">
        <x:f>INDEX('Bill Details'!$E$5:$E$563,MATCH(A108,'Bill Details'!$A$5:$A$563,0))</x:f>
        <x:v>46219</x:v>
      </x:c>
      <x:c r="E108" s="20" t="n">
        <x:f>TODAY()-D108</x:f>
        <x:v>16</x:v>
      </x:c>
    </x:row>
    <x:row r="109">
      <x:c r="A109" s="20" t="str">
        <x:v>IMEC DZIGN ENTERPRISE PRIVATE LIMITED</x:v>
      </x:c>
      <x:c r="B109" s="20" t="n">
        <x:f>COUNTIF('Bill Details'!$A$5:$A$563,A109)</x:f>
        <x:v>2</x:v>
      </x:c>
      <x:c r="C109" s="23" t="n">
        <x:f>SUMIF('Bill Details'!$A$5:$A$563,A109,'Bill Details'!$D$5:$D$563)</x:f>
        <x:v>28320</x:v>
      </x:c>
      <x:c r="D109" s="26" t="n">
        <x:f>INDEX('Bill Details'!$E$5:$E$563,MATCH(A109,'Bill Details'!$A$5:$A$563,0))</x:f>
        <x:v>46219</x:v>
      </x:c>
      <x:c r="E109" s="20" t="n">
        <x:f>TODAY()-D109</x:f>
        <x:v>16</x:v>
      </x:c>
    </x:row>
    <x:row r="110">
      <x:c r="A110" s="20" t="str">
        <x:v>Orient Enterprises</x:v>
      </x:c>
      <x:c r="B110" s="20" t="n">
        <x:f>COUNTIF('Bill Details'!$A$5:$A$563,A110)</x:f>
        <x:v>1</x:v>
      </x:c>
      <x:c r="C110" s="23" t="n">
        <x:f>SUMIF('Bill Details'!$A$5:$A$563,A110,'Bill Details'!$D$5:$D$563)</x:f>
        <x:v>1760</x:v>
      </x:c>
      <x:c r="D110" s="26" t="n">
        <x:f>INDEX('Bill Details'!$E$5:$E$563,MATCH(A110,'Bill Details'!$A$5:$A$563,0))</x:f>
        <x:v>46220</x:v>
      </x:c>
      <x:c r="E110" s="20" t="n">
        <x:f>TODAY()-D110</x:f>
        <x:v>15</x:v>
      </x:c>
    </x:row>
    <x:row r="111">
      <x:c r="A111" s="20" t="str">
        <x:v>PSG COLLEGE OF ARTS AND SCIENCE</x:v>
      </x:c>
      <x:c r="B111" s="20" t="n">
        <x:f>COUNTIF('Bill Details'!$A$5:$A$563,A111)</x:f>
        <x:v>1</x:v>
      </x:c>
      <x:c r="C111" s="23" t="n">
        <x:f>SUMIF('Bill Details'!$A$5:$A$563,A111,'Bill Details'!$D$5:$D$563)</x:f>
        <x:v>2250</x:v>
      </x:c>
      <x:c r="D111" s="26" t="n">
        <x:f>INDEX('Bill Details'!$E$5:$E$563,MATCH(A111,'Bill Details'!$A$5:$A$563,0))</x:f>
        <x:v>46220</x:v>
      </x:c>
      <x:c r="E111" s="20" t="n">
        <x:f>TODAY()-D111</x:f>
        <x:v>15</x:v>
      </x:c>
    </x:row>
    <x:row r="112">
      <x:c r="A112" s="20" t="str">
        <x:v>PSG INSTITUTE OF MANAGEMENT-GENERAL</x:v>
      </x:c>
      <x:c r="B112" s="20" t="n">
        <x:f>COUNTIF('Bill Details'!$A$5:$A$563,A112)</x:f>
        <x:v>1</x:v>
      </x:c>
      <x:c r="C112" s="23" t="n">
        <x:f>SUMIF('Bill Details'!$A$5:$A$563,A112,'Bill Details'!$D$5:$D$563)</x:f>
        <x:v>2545</x:v>
      </x:c>
      <x:c r="D112" s="26" t="n">
        <x:f>INDEX('Bill Details'!$E$5:$E$563,MATCH(A112,'Bill Details'!$A$5:$A$563,0))</x:f>
        <x:v>46220</x:v>
      </x:c>
      <x:c r="E112" s="20" t="n">
        <x:f>TODAY()-D112</x:f>
        <x:v>15</x:v>
      </x:c>
    </x:row>
    <x:row r="113">
      <x:c r="A113" s="20" t="str">
        <x:v>GEM TRADING CORPORATION</x:v>
      </x:c>
      <x:c r="B113" s="20" t="n">
        <x:f>COUNTIF('Bill Details'!$A$5:$A$563,A113)</x:f>
        <x:v>1</x:v>
      </x:c>
      <x:c r="C113" s="23" t="n">
        <x:f>SUMIF('Bill Details'!$A$5:$A$563,A113,'Bill Details'!$D$5:$D$563)</x:f>
        <x:v>360</x:v>
      </x:c>
      <x:c r="D113" s="26" t="n">
        <x:f>INDEX('Bill Details'!$E$5:$E$563,MATCH(A113,'Bill Details'!$A$5:$A$563,0))</x:f>
        <x:v>46221</x:v>
      </x:c>
      <x:c r="E113" s="20" t="n">
        <x:f>TODAY()-D113</x:f>
        <x:v>14</x:v>
      </x:c>
    </x:row>
    <x:row r="114">
      <x:c r="A114" s="20" t="str">
        <x:v>Rajkumar &amp; Co</x:v>
      </x:c>
      <x:c r="B114" s="20" t="n">
        <x:f>COUNTIF('Bill Details'!$A$5:$A$563,A114)</x:f>
        <x:v>1</x:v>
      </x:c>
      <x:c r="C114" s="23" t="n">
        <x:f>SUMIF('Bill Details'!$A$5:$A$563,A114,'Bill Details'!$D$5:$D$563)</x:f>
        <x:v>3300</x:v>
      </x:c>
      <x:c r="D114" s="26" t="n">
        <x:f>INDEX('Bill Details'!$E$5:$E$563,MATCH(A114,'Bill Details'!$A$5:$A$563,0))</x:f>
        <x:v>46221</x:v>
      </x:c>
      <x:c r="E114" s="20" t="n">
        <x:f>TODAY()-D114</x:f>
        <x:v>14</x:v>
      </x:c>
    </x:row>
    <x:row r="115">
      <x:c r="A115" s="20" t="str">
        <x:v>Apex Coco and Solar Energy PVT LTD</x:v>
      </x:c>
      <x:c r="B115" s="20" t="n">
        <x:f>COUNTIF('Bill Details'!$A$5:$A$563,A115)</x:f>
        <x:v>3</x:v>
      </x:c>
      <x:c r="C115" s="23" t="n">
        <x:f>SUMIF('Bill Details'!$A$5:$A$563,A115,'Bill Details'!$D$5:$D$563)</x:f>
        <x:v>51533</x:v>
      </x:c>
      <x:c r="D115" s="26" t="n">
        <x:f>INDEX('Bill Details'!$E$5:$E$563,MATCH(A115,'Bill Details'!$A$5:$A$563,0))</x:f>
        <x:v>46223</x:v>
      </x:c>
      <x:c r="E115" s="20" t="n">
        <x:f>TODAY()-D115</x:f>
        <x:v>12</x:v>
      </x:c>
    </x:row>
    <x:row r="116">
      <x:c r="A116" s="20" t="str">
        <x:v>Arun Laser Ovens PVT LTD</x:v>
      </x:c>
      <x:c r="B116" s="20" t="n">
        <x:f>COUNTIF('Bill Details'!$A$5:$A$563,A116)</x:f>
        <x:v>3</x:v>
      </x:c>
      <x:c r="C116" s="23" t="n">
        <x:f>SUMIF('Bill Details'!$A$5:$A$563,A116,'Bill Details'!$D$5:$D$563)</x:f>
        <x:v>706</x:v>
      </x:c>
      <x:c r="D116" s="26" t="n">
        <x:f>INDEX('Bill Details'!$E$5:$E$563,MATCH(A116,'Bill Details'!$A$5:$A$563,0))</x:f>
        <x:v>46223</x:v>
      </x:c>
      <x:c r="E116" s="20" t="n">
        <x:f>TODAY()-D116</x:f>
        <x:v>12</x:v>
      </x:c>
    </x:row>
    <x:row r="117">
      <x:c r="A117" s="20" t="str">
        <x:v>TAHERI TOOLS AND MACHINERY STORES</x:v>
      </x:c>
      <x:c r="B117" s="20" t="n">
        <x:f>COUNTIF('Bill Details'!$A$5:$A$563,A117)</x:f>
        <x:v>1</x:v>
      </x:c>
      <x:c r="C117" s="23" t="n">
        <x:f>SUMIF('Bill Details'!$A$5:$A$563,A117,'Bill Details'!$D$5:$D$563)</x:f>
        <x:v>4650</x:v>
      </x:c>
      <x:c r="D117" s="26" t="n">
        <x:f>INDEX('Bill Details'!$E$5:$E$563,MATCH(A117,'Bill Details'!$A$5:$A$563,0))</x:f>
        <x:v>46223</x:v>
      </x:c>
      <x:c r="E117" s="20" t="n">
        <x:f>TODAY()-D117</x:f>
        <x:v>12</x:v>
      </x:c>
    </x:row>
    <x:row r="118">
      <x:c r="A118" s="20" t="str">
        <x:v>PRITAM SAI ASSOCIATE</x:v>
      </x:c>
      <x:c r="B118" s="20" t="n">
        <x:f>COUNTIF('Bill Details'!$A$5:$A$563,A118)</x:f>
        <x:v>1</x:v>
      </x:c>
      <x:c r="C118" s="23" t="n">
        <x:f>SUMIF('Bill Details'!$A$5:$A$563,A118,'Bill Details'!$D$5:$D$563)</x:f>
        <x:v>16988</x:v>
      </x:c>
      <x:c r="D118" s="26" t="n">
        <x:f>INDEX('Bill Details'!$E$5:$E$563,MATCH(A118,'Bill Details'!$A$5:$A$563,0))</x:f>
        <x:v>46227</x:v>
      </x:c>
      <x:c r="E118" s="20" t="n">
        <x:f>TODAY()-D118</x:f>
        <x:v>8</x:v>
      </x:c>
    </x:row>
    <x:row r="119">
      <x:c r="A119" s="20" t="str">
        <x:v>AA Traders</x:v>
      </x:c>
      <x:c r="B119" s="20" t="n">
        <x:f>COUNTIF('Bill Details'!$A$5:$A$563,A119)</x:f>
        <x:v>6</x:v>
      </x:c>
      <x:c r="C119" s="23" t="n">
        <x:f>SUMIF('Bill Details'!$A$5:$A$563,A119,'Bill Details'!$D$5:$D$563)</x:f>
        <x:v>195809</x:v>
      </x:c>
      <x:c r="D119" s="26" t="n">
        <x:f>INDEX('Bill Details'!$E$5:$E$563,MATCH(A119,'Bill Details'!$A$5:$A$563,0))</x:f>
        <x:v>46228</x:v>
      </x:c>
      <x:c r="E119" s="20" t="n">
        <x:f>TODAY()-D119</x:f>
        <x:v>7</x:v>
      </x:c>
    </x:row>
    <x:row r="120">
      <x:c r="A120" s="20" t="str">
        <x:v>Black Thunder Theme Park P Ltd</x:v>
      </x:c>
      <x:c r="B120" s="20" t="n">
        <x:f>COUNTIF('Bill Details'!$A$5:$A$563,A120)</x:f>
        <x:v>1</x:v>
      </x:c>
      <x:c r="C120" s="23" t="n">
        <x:f>SUMIF('Bill Details'!$A$5:$A$563,A120,'Bill Details'!$D$5:$D$563)</x:f>
        <x:v>1711</x:v>
      </x:c>
      <x:c r="D120" s="26" t="n">
        <x:f>INDEX('Bill Details'!$E$5:$E$563,MATCH(A120,'Bill Details'!$A$5:$A$563,0))</x:f>
        <x:v>46231</x:v>
      </x:c>
      <x:c r="E120" s="20" t="n">
        <x:f>TODAY()-D120</x:f>
        <x:v>4</x:v>
      </x:c>
    </x:row>
    <x:row r="121">
      <x:c r="A121" s="20" t="str">
        <x:v>M K Hardware</x:v>
      </x:c>
      <x:c r="B121" s="20" t="n">
        <x:f>COUNTIF('Bill Details'!$A$5:$A$563,A121)</x:f>
        <x:v>1</x:v>
      </x:c>
      <x:c r="C121" s="23" t="n">
        <x:f>SUMIF('Bill Details'!$A$5:$A$563,A121,'Bill Details'!$D$5:$D$563)</x:f>
        <x:v>880</x:v>
      </x:c>
      <x:c r="D121" s="26" t="n">
        <x:f>INDEX('Bill Details'!$E$5:$E$563,MATCH(A121,'Bill Details'!$A$5:$A$563,0))</x:f>
        <x:v>46231</x:v>
      </x:c>
      <x:c r="E121" s="20" t="n">
        <x:f>TODAY()-D121</x:f>
        <x:v>4</x:v>
      </x:c>
    </x:row>
    <x:row r="122">
      <x:c r="A122" s="20" t="str">
        <x:v>S.A. Traders</x:v>
      </x:c>
      <x:c r="B122" s="20" t="n">
        <x:f>COUNTIF('Bill Details'!$A$5:$A$563,A122)</x:f>
        <x:v>1</x:v>
      </x:c>
      <x:c r="C122" s="23" t="n">
        <x:f>SUMIF('Bill Details'!$A$5:$A$563,A122,'Bill Details'!$D$5:$D$563)</x:f>
        <x:v>3793</x:v>
      </x:c>
      <x:c r="D122" s="26" t="n">
        <x:f>INDEX('Bill Details'!$E$5:$E$563,MATCH(A122,'Bill Details'!$A$5:$A$563,0))</x:f>
        <x:v>46231</x:v>
      </x:c>
      <x:c r="E122" s="20" t="n">
        <x:f>TODAY()-D122</x:f>
        <x:v>4</x:v>
      </x:c>
    </x:row>
    <x:row r="123">
      <x:c r="A123" s="20" t="str">
        <x:v>NAAMAKKAL CONSTRUCTIONS</x:v>
      </x:c>
      <x:c r="B123" s="20" t="n">
        <x:f>COUNTIF('Bill Details'!$A$5:$A$563,A123)</x:f>
        <x:v>1</x:v>
      </x:c>
      <x:c r="C123" s="23" t="n">
        <x:f>SUMIF('Bill Details'!$A$5:$A$563,A123,'Bill Details'!$D$5:$D$563)</x:f>
        <x:v>3900</x:v>
      </x:c>
      <x:c r="D123" s="26" t="n">
        <x:f>INDEX('Bill Details'!$E$5:$E$563,MATCH(A123,'Bill Details'!$A$5:$A$563,0))</x:f>
        <x:v>46232</x:v>
      </x:c>
      <x:c r="E123" s="20" t="n">
        <x:f>TODAY()-D123</x:f>
        <x:v>3</x:v>
      </x:c>
    </x:row>
    <x:row r="124">
      <x:c r="A124" s="20" t="str">
        <x:v>VME PRECAST PRODUCTS</x:v>
      </x:c>
      <x:c r="B124" s="20" t="n">
        <x:f>COUNTIF('Bill Details'!$A$5:$A$563,A124)</x:f>
        <x:v>2</x:v>
      </x:c>
      <x:c r="C124" s="23" t="n">
        <x:f>SUMIF('Bill Details'!$A$5:$A$563,A124,'Bill Details'!$D$5:$D$563)</x:f>
        <x:v>208518</x:v>
      </x:c>
      <x:c r="D124" s="26" t="n">
        <x:f>INDEX('Bill Details'!$E$5:$E$563,MATCH(A124,'Bill Details'!$A$5:$A$563,0))</x:f>
        <x:v>46232</x:v>
      </x:c>
      <x:c r="E124" s="20" t="n">
        <x:f>TODAY()-D124</x:f>
        <x:v>3</x:v>
      </x:c>
    </x:row>
    <x:row r="125">
      <x:c r="A125" s="20" t="str">
        <x:v>Aj Body Shop Solutions</x:v>
      </x:c>
      <x:c r="B125" s="20" t="n">
        <x:f>COUNTIF('Bill Details'!$A$5:$A$563,A125)</x:f>
        <x:v>1</x:v>
      </x:c>
      <x:c r="C125" s="23" t="n">
        <x:f>SUMIF('Bill Details'!$A$5:$A$563,A125,'Bill Details'!$D$5:$D$563)</x:f>
        <x:v>2592</x:v>
      </x:c>
      <x:c r="D125" s="26" t="n">
        <x:f>INDEX('Bill Details'!$E$5:$E$563,MATCH(A125,'Bill Details'!$A$5:$A$563,0))</x:f>
        <x:v>46235</x:v>
      </x:c>
      <x:c r="E125" s="20" t="n">
        <x:f>TODAY()-D125</x:f>
        <x:v>0</x:v>
      </x:c>
    </x:row>
    <x:row r="126">
      <x:c r="A126" s="20" t="str">
        <x:v>Deivanai Traders</x:v>
      </x:c>
      <x:c r="B126" s="20" t="n">
        <x:f>COUNTIF('Bill Details'!$A$5:$A$563,A126)</x:f>
        <x:v>1</x:v>
      </x:c>
      <x:c r="C126" s="23" t="n">
        <x:f>SUMIF('Bill Details'!$A$5:$A$563,A126,'Bill Details'!$D$5:$D$563)</x:f>
        <x:v>1175</x:v>
      </x:c>
      <x:c r="D126" s="26" t="n">
        <x:f>INDEX('Bill Details'!$E$5:$E$563,MATCH(A126,'Bill Details'!$A$5:$A$563,0))</x:f>
        <x:v>46235</x:v>
      </x:c>
      <x:c r="E126" s="20" t="n">
        <x:f>TODAY()-D126</x:f>
        <x:v>0</x:v>
      </x:c>
    </x:row>
    <x:row r="127">
      <x:c r="A127" s="20" t="str">
        <x:v>Fabtex Engineering Works</x:v>
      </x:c>
      <x:c r="B127" s="20" t="n">
        <x:f>COUNTIF('Bill Details'!$A$5:$A$563,A127)</x:f>
        <x:v>1</x:v>
      </x:c>
      <x:c r="C127" s="23" t="n">
        <x:f>SUMIF('Bill Details'!$A$5:$A$563,A127,'Bill Details'!$D$5:$D$563)</x:f>
        <x:v>764</x:v>
      </x:c>
      <x:c r="D127" s="26" t="n">
        <x:f>INDEX('Bill Details'!$E$5:$E$563,MATCH(A127,'Bill Details'!$A$5:$A$563,0))</x:f>
        <x:v>46235</x:v>
      </x:c>
      <x:c r="E127" s="20" t="n">
        <x:f>TODAY()-D127</x:f>
        <x:v>0</x:v>
      </x:c>
    </x:row>
    <x:row r="128">
      <x:c r="A128" s="20" t="str">
        <x:v>HARIBHAVANAM RESTAURANTS INDIA PRIVATE LIMITED</x:v>
      </x:c>
      <x:c r="B128" s="20" t="n">
        <x:f>COUNTIF('Bill Details'!$A$5:$A$563,A128)</x:f>
        <x:v>1</x:v>
      </x:c>
      <x:c r="C128" s="23" t="n">
        <x:f>SUMIF('Bill Details'!$A$5:$A$563,A128,'Bill Details'!$D$5:$D$563)</x:f>
        <x:v>1900</x:v>
      </x:c>
      <x:c r="D128" s="26" t="n">
        <x:f>INDEX('Bill Details'!$E$5:$E$563,MATCH(A128,'Bill Details'!$A$5:$A$563,0))</x:f>
        <x:v>46235</x:v>
      </x:c>
      <x:c r="E128" s="20" t="n">
        <x:f>TODAY()-D128</x:f>
        <x:v>0</x:v>
      </x:c>
    </x:row>
    <x:row r="129">
      <x:c r="A129" s="20" t="str">
        <x:v>JS ENTERPRISES L1Z7</x:v>
      </x:c>
      <x:c r="B129" s="20" t="n">
        <x:f>COUNTIF('Bill Details'!$A$5:$A$563,A129)</x:f>
        <x:v>1</x:v>
      </x:c>
      <x:c r="C129" s="23" t="n">
        <x:f>SUMIF('Bill Details'!$A$5:$A$563,A129,'Bill Details'!$D$5:$D$563)</x:f>
        <x:v>1770</x:v>
      </x:c>
      <x:c r="D129" s="26" t="n">
        <x:f>INDEX('Bill Details'!$E$5:$E$563,MATCH(A129,'Bill Details'!$A$5:$A$563,0))</x:f>
        <x:v>46235</x:v>
      </x:c>
      <x:c r="E129" s="20" t="n">
        <x:f>TODAY()-D129</x:f>
        <x:v>0</x:v>
      </x:c>
    </x:row>
    <x:row r="130">
      <x:c r="A130" s="20" t="str">
        <x:v>KRP ENGINEERING WORKS</x:v>
      </x:c>
      <x:c r="B130" s="20" t="n">
        <x:f>COUNTIF('Bill Details'!$A$5:$A$563,A130)</x:f>
        <x:v>1</x:v>
      </x:c>
      <x:c r="C130" s="23" t="n">
        <x:f>SUMIF('Bill Details'!$A$5:$A$563,A130,'Bill Details'!$D$5:$D$563)</x:f>
        <x:v>3500</x:v>
      </x:c>
      <x:c r="D130" s="26" t="n">
        <x:f>INDEX('Bill Details'!$E$5:$E$563,MATCH(A130,'Bill Details'!$A$5:$A$563,0))</x:f>
        <x:v>46235</x:v>
      </x:c>
      <x:c r="E130" s="20" t="n">
        <x:f>TODAY()-D130</x:f>
        <x:v>0</x:v>
      </x:c>
    </x:row>
    <x:row r="131">
      <x:c r="A131" s="20" t="str">
        <x:v>NANDA FEEDS PRIVATE LIMITED</x:v>
      </x:c>
      <x:c r="B131" s="20" t="n">
        <x:f>COUNTIF('Bill Details'!$A$5:$A$563,A131)</x:f>
        <x:v>1</x:v>
      </x:c>
      <x:c r="C131" s="23" t="n">
        <x:f>SUMIF('Bill Details'!$A$5:$A$563,A131,'Bill Details'!$D$5:$D$563)</x:f>
        <x:v>1168</x:v>
      </x:c>
      <x:c r="D131" s="26" t="n">
        <x:f>INDEX('Bill Details'!$E$5:$E$563,MATCH(A131,'Bill Details'!$A$5:$A$563,0))</x:f>
        <x:v>46235</x:v>
      </x:c>
      <x:c r="E131" s="20" t="n">
        <x:f>TODAY()-D131</x:f>
        <x:v>0</x:v>
      </x:c>
    </x:row>
    <x:row r="132">
      <x:c r="A132" s="20" t="str">
        <x:v>ROYAL TOOLS CORPORATION</x:v>
      </x:c>
      <x:c r="B132" s="20" t="n">
        <x:f>COUNTIF('Bill Details'!$A$5:$A$563,A132)</x:f>
        <x:v>1</x:v>
      </x:c>
      <x:c r="C132" s="23" t="n">
        <x:f>SUMIF('Bill Details'!$A$5:$A$563,A132,'Bill Details'!$D$5:$D$563)</x:f>
        <x:v>5886</x:v>
      </x:c>
      <x:c r="D132" s="26" t="n">
        <x:f>INDEX('Bill Details'!$E$5:$E$563,MATCH(A132,'Bill Details'!$A$5:$A$563,0))</x:f>
        <x:v>46235</x:v>
      </x:c>
      <x:c r="E132" s="20" t="n">
        <x:f>TODAY()-D132</x:f>
        <x:v>0</x:v>
      </x:c>
    </x:row>
    <x:row r="133">
      <x:c r="A133" s="20" t="str">
        <x:v>SHAJI'S ENGINEERING INDUSTRIES</x:v>
      </x:c>
      <x:c r="B133" s="20" t="n">
        <x:f>COUNTIF('Bill Details'!$A$5:$A$563,A133)</x:f>
        <x:v>1</x:v>
      </x:c>
      <x:c r="C133" s="23" t="n">
        <x:f>SUMIF('Bill Details'!$A$5:$A$563,A133,'Bill Details'!$D$5:$D$563)</x:f>
        <x:v>7775</x:v>
      </x:c>
      <x:c r="D133" s="26" t="n">
        <x:f>INDEX('Bill Details'!$E$5:$E$563,MATCH(A133,'Bill Details'!$A$5:$A$563,0))</x:f>
        <x:v>46235</x:v>
      </x:c>
      <x:c r="E133" s="20" t="n">
        <x:f>TODAY()-D133</x:f>
        <x:v>0</x:v>
      </x:c>
    </x:row>
    <x:row r="134">
      <x:c r="A134" s="21" t="str">
        <x:v>SUN FORGINGS</x:v>
      </x:c>
      <x:c r="B134" s="21" t="n">
        <x:f>COUNTIF('Bill Details'!$A$5:$A$563,A134)</x:f>
        <x:v>1</x:v>
      </x:c>
      <x:c r="C134" s="24" t="n">
        <x:f>SUMIF('Bill Details'!$A$5:$A$563,A134,'Bill Details'!$D$5:$D$563)</x:f>
        <x:v>4500</x:v>
      </x:c>
      <x:c r="D134" s="27" t="n">
        <x:f>INDEX('Bill Details'!$E$5:$E$563,MATCH(A134,'Bill Details'!$A$5:$A$563,0))</x:f>
        <x:v>46235</x:v>
      </x:c>
      <x:c r="E134" s="21" t="n">
        <x:f>TODAY()-D134</x:f>
        <x:v>0</x:v>
      </x:c>
    </x:row>
  </x:sheetData>
  <x:mergeCells>
    <x:mergeCell ref="A1:E1"/>
  </x:mergeCells>
  <x:conditionalFormatting sqref="E6:E134">
    <x:cfRule type="colorScale" priority="1">
      <x:colorScale>
        <x:cfvo type="min"/>
        <x:cfvo type="percentile" val="50"/>
        <x:cfvo type="max"/>
        <x:color rgb="FFE2F0D9"/>
        <x:color rgb="FFFFE699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c8a18426cba4f2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0" hidden="0" customWidth="1"/>
    <x:col min="3" max="3" width="14" hidden="0" customWidth="1"/>
    <x:col min="4" max="4" width="18" hidden="0" customWidth="1"/>
    <x:col min="5" max="5" width="14" hidden="0" customWidth="1"/>
    <x:col min="6" max="6" width="16" hidden="0" customWidth="1"/>
    <x:col min="7" max="7" width="18" hidden="0" customWidth="1"/>
  </x:cols>
  <x:sheetData>
    <x:row r="1">
      <x:c r="A1" s="3" t="str">
        <x:v>Bill-wise Receivables</x:v>
      </x:c>
      <x:c r="B1" s="3"/>
      <x:c r="C1" s="3"/>
      <x:c r="D1" s="3"/>
      <x:c r="E1" s="3"/>
      <x:c r="F1" s="3"/>
      <x:c r="G1" s="3"/>
    </x:row>
    <x:row r="2">
      <x:c r="A2" s="29" t="str">
        <x:v>Companies are ordered by their oldest outstanding due date; bills within each company are chronological. Days Since Due uses TODAY().</x:v>
      </x:c>
      <x:c r="B2" s="29"/>
      <x:c r="C2" s="29"/>
      <x:c r="D2" s="29"/>
      <x:c r="E2" s="29"/>
      <x:c r="F2" s="29"/>
      <x:c r="G2" s="29"/>
    </x:row>
    <x:row r="4">
      <x:c r="A4" s="16" t="str">
        <x:v>Company</x:v>
      </x:c>
      <x:c r="B4" s="17" t="str">
        <x:v>Bill Number</x:v>
      </x:c>
      <x:c r="C4" s="17" t="str">
        <x:v>Bill Date</x:v>
      </x:c>
      <x:c r="D4" s="17" t="str">
        <x:v>Bill Value</x:v>
      </x:c>
      <x:c r="E4" s="17" t="str">
        <x:v>Due Date</x:v>
      </x:c>
      <x:c r="F4" s="17" t="str">
        <x:v>Days Since Due</x:v>
      </x:c>
      <x:c r="G4" s="18" t="str">
        <x:v>Company Total</x:v>
      </x:c>
    </x:row>
    <x:row r="5">
      <x:c r="A5" t="str">
        <x:v>Hatimi Enterprise</x:v>
      </x:c>
      <x:c r="B5" t="str">
        <x:v>NA/4094/24-25</x:v>
      </x:c>
      <x:c r="C5" s="6" t="n">
        <x:v>45713</x:v>
      </x:c>
      <x:c r="D5" s="7" t="n">
        <x:v>51250</x:v>
      </x:c>
      <x:c r="E5" s="6" t="n">
        <x:v>45713</x:v>
      </x:c>
      <x:c r="F5" t="n">
        <x:f>TODAY()-E5</x:f>
        <x:v>522</x:v>
      </x:c>
      <x:c r="G5" s="7" t="n">
        <x:f>SUMIF($A$5:$A$563,A5,$D$5:$D$563)</x:f>
        <x:v>117780</x:v>
      </x:c>
    </x:row>
    <x:row r="6">
      <x:c r="A6" t="str">
        <x:v>Hatimi Enterprise</x:v>
      </x:c>
      <x:c r="B6" t="str">
        <x:v>NA/0007/25-26</x:v>
      </x:c>
      <x:c r="C6" s="6" t="n">
        <x:v>45748</x:v>
      </x:c>
      <x:c r="D6" s="7" t="n">
        <x:v>6600</x:v>
      </x:c>
      <x:c r="E6" s="6" t="n">
        <x:v>45748</x:v>
      </x:c>
      <x:c r="F6" t="n">
        <x:f>TODAY()-E6</x:f>
        <x:v>487</x:v>
      </x:c>
      <x:c r="G6" s="7" t="n">
        <x:f>SUMIF($A$5:$A$563,A6,$D$5:$D$563)</x:f>
        <x:v>117780</x:v>
      </x:c>
    </x:row>
    <x:row r="7">
      <x:c r="A7" t="str">
        <x:v>Hatimi Enterprise</x:v>
      </x:c>
      <x:c r="B7" t="str">
        <x:v>NA/0038/25-26</x:v>
      </x:c>
      <x:c r="C7" s="6" t="n">
        <x:v>45750</x:v>
      </x:c>
      <x:c r="D7" s="7" t="n">
        <x:v>1514</x:v>
      </x:c>
      <x:c r="E7" s="6" t="n">
        <x:v>45750</x:v>
      </x:c>
      <x:c r="F7" t="n">
        <x:f>TODAY()-E7</x:f>
        <x:v>485</x:v>
      </x:c>
      <x:c r="G7" s="7" t="n">
        <x:f>SUMIF($A$5:$A$563,A7,$D$5:$D$563)</x:f>
        <x:v>117780</x:v>
      </x:c>
    </x:row>
    <x:row r="8">
      <x:c r="A8" t="str">
        <x:v>Hatimi Enterprise</x:v>
      </x:c>
      <x:c r="B8" t="str">
        <x:v>NA/0244/25-26</x:v>
      </x:c>
      <x:c r="C8" s="6" t="n">
        <x:v>45763</x:v>
      </x:c>
      <x:c r="D8" s="7" t="n">
        <x:v>8800</x:v>
      </x:c>
      <x:c r="E8" s="6" t="n">
        <x:v>45763</x:v>
      </x:c>
      <x:c r="F8" t="n">
        <x:f>TODAY()-E8</x:f>
        <x:v>472</x:v>
      </x:c>
      <x:c r="G8" s="7" t="n">
        <x:f>SUMIF($A$5:$A$563,A8,$D$5:$D$563)</x:f>
        <x:v>117780</x:v>
      </x:c>
    </x:row>
    <x:row r="9">
      <x:c r="A9" t="str">
        <x:v>Hatimi Enterprise</x:v>
      </x:c>
      <x:c r="B9" t="str">
        <x:v>NA/0394/25-26</x:v>
      </x:c>
      <x:c r="C9" s="6" t="n">
        <x:v>45772</x:v>
      </x:c>
      <x:c r="D9" s="7" t="n">
        <x:v>4000</x:v>
      </x:c>
      <x:c r="E9" s="6" t="n">
        <x:v>45772</x:v>
      </x:c>
      <x:c r="F9" t="n">
        <x:f>TODAY()-E9</x:f>
        <x:v>463</x:v>
      </x:c>
      <x:c r="G9" s="7" t="n">
        <x:f>SUMIF($A$5:$A$563,A9,$D$5:$D$563)</x:f>
        <x:v>117780</x:v>
      </x:c>
    </x:row>
    <x:row r="10">
      <x:c r="A10" t="str">
        <x:v>Hatimi Enterprise</x:v>
      </x:c>
      <x:c r="B10" t="str">
        <x:v>NA/0896/25-26</x:v>
      </x:c>
      <x:c r="C10" s="6" t="n">
        <x:v>45805</x:v>
      </x:c>
      <x:c r="D10" s="7" t="n">
        <x:v>4858</x:v>
      </x:c>
      <x:c r="E10" s="6" t="n">
        <x:v>45805</x:v>
      </x:c>
      <x:c r="F10" t="n">
        <x:f>TODAY()-E10</x:f>
        <x:v>430</x:v>
      </x:c>
      <x:c r="G10" s="7" t="n">
        <x:f>SUMIF($A$5:$A$563,A10,$D$5:$D$563)</x:f>
        <x:v>117780</x:v>
      </x:c>
    </x:row>
    <x:row r="11">
      <x:c r="A11" t="str">
        <x:v>Hatimi Enterprise</x:v>
      </x:c>
      <x:c r="B11" t="str">
        <x:v>NA/2084/25-26&lt;Auto&gt;</x:v>
      </x:c>
      <x:c r="C11" s="6" t="n">
        <x:v>45885</x:v>
      </x:c>
      <x:c r="D11" s="7" t="n">
        <x:v>4800</x:v>
      </x:c>
      <x:c r="E11" s="6" t="n">
        <x:v>45885</x:v>
      </x:c>
      <x:c r="F11" t="n">
        <x:f>TODAY()-E11</x:f>
        <x:v>350</x:v>
      </x:c>
      <x:c r="G11" s="7" t="n">
        <x:f>SUMIF($A$5:$A$563,A11,$D$5:$D$563)</x:f>
        <x:v>117780</x:v>
      </x:c>
    </x:row>
    <x:row r="12">
      <x:c r="A12" t="str">
        <x:v>Hatimi Enterprise</x:v>
      </x:c>
      <x:c r="B12" t="str">
        <x:v>NA/2165/25-26</x:v>
      </x:c>
      <x:c r="C12" s="6" t="n">
        <x:v>45890</x:v>
      </x:c>
      <x:c r="D12" s="7" t="n">
        <x:v>26208</x:v>
      </x:c>
      <x:c r="E12" s="6" t="n">
        <x:v>45890</x:v>
      </x:c>
      <x:c r="F12" t="n">
        <x:f>TODAY()-E12</x:f>
        <x:v>345</x:v>
      </x:c>
      <x:c r="G12" s="7" t="n">
        <x:f>SUMIF($A$5:$A$563,A12,$D$5:$D$563)</x:f>
        <x:v>117780</x:v>
      </x:c>
    </x:row>
    <x:row r="13">
      <x:c r="A13" t="str">
        <x:v>Hatimi Enterprise</x:v>
      </x:c>
      <x:c r="B13" t="str">
        <x:v>NA/2629/25-26</x:v>
      </x:c>
      <x:c r="C13" s="6" t="n">
        <x:v>45917</x:v>
      </x:c>
      <x:c r="D13" s="7" t="n">
        <x:v>2000</x:v>
      </x:c>
      <x:c r="E13" s="6" t="n">
        <x:v>45917</x:v>
      </x:c>
      <x:c r="F13" t="n">
        <x:f>TODAY()-E13</x:f>
        <x:v>318</x:v>
      </x:c>
      <x:c r="G13" s="7" t="n">
        <x:f>SUMIF($A$5:$A$563,A13,$D$5:$D$563)</x:f>
        <x:v>117780</x:v>
      </x:c>
    </x:row>
    <x:row r="14">
      <x:c r="A14" t="str">
        <x:v>Hatimi Enterprise</x:v>
      </x:c>
      <x:c r="B14" t="str">
        <x:v>NA/2840/25-26</x:v>
      </x:c>
      <x:c r="C14" s="6" t="n">
        <x:v>45930</x:v>
      </x:c>
      <x:c r="D14" s="7" t="n">
        <x:v>7000</x:v>
      </x:c>
      <x:c r="E14" s="6" t="n">
        <x:v>45930</x:v>
      </x:c>
      <x:c r="F14" t="n">
        <x:f>TODAY()-E14</x:f>
        <x:v>305</x:v>
      </x:c>
      <x:c r="G14" s="7" t="n">
        <x:f>SUMIF($A$5:$A$563,A14,$D$5:$D$563)</x:f>
        <x:v>117780</x:v>
      </x:c>
    </x:row>
    <x:row r="15">
      <x:c r="A15" t="str">
        <x:v>Hatimi Enterprise</x:v>
      </x:c>
      <x:c r="B15" t="str">
        <x:v>NA/2864/25-26</x:v>
      </x:c>
      <x:c r="C15" s="6" t="n">
        <x:v>45933</x:v>
      </x:c>
      <x:c r="D15" s="7" t="n">
        <x:v>750</x:v>
      </x:c>
      <x:c r="E15" s="6" t="n">
        <x:v>45933</x:v>
      </x:c>
      <x:c r="F15" t="n">
        <x:f>TODAY()-E15</x:f>
        <x:v>302</x:v>
      </x:c>
      <x:c r="G15" s="7" t="n">
        <x:f>SUMIF($A$5:$A$563,A15,$D$5:$D$563)</x:f>
        <x:v>117780</x:v>
      </x:c>
    </x:row>
    <x:row r="16">
      <x:c r="A16" t="str">
        <x:v>Selvakumar Pipes &amp; Fittings Company</x:v>
      </x:c>
      <x:c r="B16" t="str">
        <x:v>NA/1281/25-26</x:v>
      </x:c>
      <x:c r="C16" s="6" t="n">
        <x:v>45831</x:v>
      </x:c>
      <x:c r="D16" s="7" t="n">
        <x:v>1284</x:v>
      </x:c>
      <x:c r="E16" s="6" t="n">
        <x:v>45831</x:v>
      </x:c>
      <x:c r="F16" t="n">
        <x:f>TODAY()-E16</x:f>
        <x:v>404</x:v>
      </x:c>
      <x:c r="G16" s="7" t="n">
        <x:f>SUMIF($A$5:$A$563,A16,$D$5:$D$563)</x:f>
        <x:v>23709</x:v>
      </x:c>
    </x:row>
    <x:row r="17">
      <x:c r="A17" t="str">
        <x:v>Selvakumar Pipes &amp; Fittings Company</x:v>
      </x:c>
      <x:c r="B17" t="str">
        <x:v>NA/1488/25-26</x:v>
      </x:c>
      <x:c r="C17" s="6" t="n">
        <x:v>45850</x:v>
      </x:c>
      <x:c r="D17" s="7" t="n">
        <x:v>4015</x:v>
      </x:c>
      <x:c r="E17" s="6" t="n">
        <x:v>45850</x:v>
      </x:c>
      <x:c r="F17" t="n">
        <x:f>TODAY()-E17</x:f>
        <x:v>385</x:v>
      </x:c>
      <x:c r="G17" s="7" t="n">
        <x:f>SUMIF($A$5:$A$563,A17,$D$5:$D$563)</x:f>
        <x:v>23709</x:v>
      </x:c>
    </x:row>
    <x:row r="18">
      <x:c r="A18" t="str">
        <x:v>Selvakumar Pipes &amp; Fittings Company</x:v>
      </x:c>
      <x:c r="B18" t="str">
        <x:v>NA/1600/25-26</x:v>
      </x:c>
      <x:c r="C18" s="6" t="n">
        <x:v>45857</x:v>
      </x:c>
      <x:c r="D18" s="7" t="n">
        <x:v>2784</x:v>
      </x:c>
      <x:c r="E18" s="6" t="n">
        <x:v>45857</x:v>
      </x:c>
      <x:c r="F18" t="n">
        <x:f>TODAY()-E18</x:f>
        <x:v>378</x:v>
      </x:c>
      <x:c r="G18" s="7" t="n">
        <x:f>SUMIF($A$5:$A$563,A18,$D$5:$D$563)</x:f>
        <x:v>23709</x:v>
      </x:c>
    </x:row>
    <x:row r="19">
      <x:c r="A19" t="str">
        <x:v>Selvakumar Pipes &amp; Fittings Company</x:v>
      </x:c>
      <x:c r="B19" t="str">
        <x:v>NA/1980/25-26</x:v>
      </x:c>
      <x:c r="C19" s="6" t="n">
        <x:v>45877</x:v>
      </x:c>
      <x:c r="D19" s="7" t="n">
        <x:v>7661</x:v>
      </x:c>
      <x:c r="E19" s="6" t="n">
        <x:v>45877</x:v>
      </x:c>
      <x:c r="F19" t="n">
        <x:f>TODAY()-E19</x:f>
        <x:v>358</x:v>
      </x:c>
      <x:c r="G19" s="7" t="n">
        <x:f>SUMIF($A$5:$A$563,A19,$D$5:$D$563)</x:f>
        <x:v>23709</x:v>
      </x:c>
    </x:row>
    <x:row r="20">
      <x:c r="A20" t="str">
        <x:v>Selvakumar Pipes &amp; Fittings Company</x:v>
      </x:c>
      <x:c r="B20" t="str">
        <x:v>NA/2544/25-26</x:v>
      </x:c>
      <x:c r="C20" s="6" t="n">
        <x:v>45912</x:v>
      </x:c>
      <x:c r="D20" s="7" t="n">
        <x:v>1861</x:v>
      </x:c>
      <x:c r="E20" s="6" t="n">
        <x:v>45912</x:v>
      </x:c>
      <x:c r="F20" t="n">
        <x:f>TODAY()-E20</x:f>
        <x:v>323</x:v>
      </x:c>
      <x:c r="G20" s="7" t="n">
        <x:f>SUMIF($A$5:$A$563,A20,$D$5:$D$563)</x:f>
        <x:v>23709</x:v>
      </x:c>
    </x:row>
    <x:row r="21">
      <x:c r="A21" t="str">
        <x:v>Selvakumar Pipes &amp; Fittings Company</x:v>
      </x:c>
      <x:c r="B21" t="str">
        <x:v>NA/2545/25-26</x:v>
      </x:c>
      <x:c r="C21" s="6" t="n">
        <x:v>45912</x:v>
      </x:c>
      <x:c r="D21" s="7" t="n">
        <x:v>2054</x:v>
      </x:c>
      <x:c r="E21" s="6" t="n">
        <x:v>45912</x:v>
      </x:c>
      <x:c r="F21" t="n">
        <x:f>TODAY()-E21</x:f>
        <x:v>323</x:v>
      </x:c>
      <x:c r="G21" s="7" t="n">
        <x:f>SUMIF($A$5:$A$563,A21,$D$5:$D$563)</x:f>
        <x:v>23709</x:v>
      </x:c>
    </x:row>
    <x:row r="22">
      <x:c r="A22" t="str">
        <x:v>Selvakumar Pipes &amp; Fittings Company</x:v>
      </x:c>
      <x:c r="B22" t="str">
        <x:v>NA/2603/25-26</x:v>
      </x:c>
      <x:c r="C22" s="6" t="n">
        <x:v>45915</x:v>
      </x:c>
      <x:c r="D22" s="7" t="n">
        <x:v>3000</x:v>
      </x:c>
      <x:c r="E22" s="6" t="n">
        <x:v>45915</x:v>
      </x:c>
      <x:c r="F22" t="n">
        <x:f>TODAY()-E22</x:f>
        <x:v>320</x:v>
      </x:c>
      <x:c r="G22" s="7" t="n">
        <x:f>SUMIF($A$5:$A$563,A22,$D$5:$D$563)</x:f>
        <x:v>23709</x:v>
      </x:c>
    </x:row>
    <x:row r="23">
      <x:c r="A23" t="str">
        <x:v>Selvakumar Pipes &amp; Fittings Company</x:v>
      </x:c>
      <x:c r="B23" t="str">
        <x:v>NA/2705/25-26</x:v>
      </x:c>
      <x:c r="C23" s="6" t="n">
        <x:v>45920</x:v>
      </x:c>
      <x:c r="D23" s="7" t="n">
        <x:v>1050</x:v>
      </x:c>
      <x:c r="E23" s="6" t="n">
        <x:v>45920</x:v>
      </x:c>
      <x:c r="F23" t="n">
        <x:f>TODAY()-E23</x:f>
        <x:v>315</x:v>
      </x:c>
      <x:c r="G23" s="7" t="n">
        <x:f>SUMIF($A$5:$A$563,A23,$D$5:$D$563)</x:f>
        <x:v>23709</x:v>
      </x:c>
    </x:row>
    <x:row r="24">
      <x:c r="A24" t="str">
        <x:v>Quadari Enterprises</x:v>
      </x:c>
      <x:c r="B24" t="str">
        <x:v>NA/1657/25-26</x:v>
      </x:c>
      <x:c r="C24" s="6" t="n">
        <x:v>45860</x:v>
      </x:c>
      <x:c r="D24" s="7" t="n">
        <x:v>3512</x:v>
      </x:c>
      <x:c r="E24" s="6" t="n">
        <x:v>45860</x:v>
      </x:c>
      <x:c r="F24" t="n">
        <x:f>TODAY()-E24</x:f>
        <x:v>375</x:v>
      </x:c>
      <x:c r="G24" s="7" t="n">
        <x:f>SUMIF($A$5:$A$563,A24,$D$5:$D$563)</x:f>
        <x:v>58985</x:v>
      </x:c>
    </x:row>
    <x:row r="25">
      <x:c r="A25" t="str">
        <x:v>Quadari Enterprises</x:v>
      </x:c>
      <x:c r="B25" t="str">
        <x:v>NA/1845/25-26</x:v>
      </x:c>
      <x:c r="C25" s="6" t="n">
        <x:v>45871</x:v>
      </x:c>
      <x:c r="D25" s="7" t="n">
        <x:v>3507</x:v>
      </x:c>
      <x:c r="E25" s="6" t="n">
        <x:v>45871</x:v>
      </x:c>
      <x:c r="F25" t="n">
        <x:f>TODAY()-E25</x:f>
        <x:v>364</x:v>
      </x:c>
      <x:c r="G25" s="7" t="n">
        <x:f>SUMIF($A$5:$A$563,A25,$D$5:$D$563)</x:f>
        <x:v>58985</x:v>
      </x:c>
    </x:row>
    <x:row r="26">
      <x:c r="A26" t="str">
        <x:v>Quadari Enterprises</x:v>
      </x:c>
      <x:c r="B26" t="str">
        <x:v>NA/2215/25-26</x:v>
      </x:c>
      <x:c r="C26" s="6" t="n">
        <x:v>45892</x:v>
      </x:c>
      <x:c r="D26" s="7" t="n">
        <x:v>1077</x:v>
      </x:c>
      <x:c r="E26" s="6" t="n">
        <x:v>45892</x:v>
      </x:c>
      <x:c r="F26" t="n">
        <x:f>TODAY()-E26</x:f>
        <x:v>343</x:v>
      </x:c>
      <x:c r="G26" s="7" t="n">
        <x:f>SUMIF($A$5:$A$563,A26,$D$5:$D$563)</x:f>
        <x:v>58985</x:v>
      </x:c>
    </x:row>
    <x:row r="27">
      <x:c r="A27" t="str">
        <x:v>Quadari Enterprises</x:v>
      </x:c>
      <x:c r="B27" t="str">
        <x:v>NA/2331/25-26</x:v>
      </x:c>
      <x:c r="C27" s="6" t="n">
        <x:v>45899</x:v>
      </x:c>
      <x:c r="D27" s="7" t="n">
        <x:v>437</x:v>
      </x:c>
      <x:c r="E27" s="6" t="n">
        <x:v>45899</x:v>
      </x:c>
      <x:c r="F27" t="n">
        <x:f>TODAY()-E27</x:f>
        <x:v>336</x:v>
      </x:c>
      <x:c r="G27" s="7" t="n">
        <x:f>SUMIF($A$5:$A$563,A27,$D$5:$D$563)</x:f>
        <x:v>58985</x:v>
      </x:c>
    </x:row>
    <x:row r="28">
      <x:c r="A28" t="str">
        <x:v>Quadari Enterprises</x:v>
      </x:c>
      <x:c r="B28" t="str">
        <x:v>NA/3332/25-26</x:v>
      </x:c>
      <x:c r="C28" s="6" t="n">
        <x:v>45962</x:v>
      </x:c>
      <x:c r="D28" s="7" t="n">
        <x:v>1174</x:v>
      </x:c>
      <x:c r="E28" s="6" t="n">
        <x:v>45962</x:v>
      </x:c>
      <x:c r="F28" t="n">
        <x:f>TODAY()-E28</x:f>
        <x:v>273</x:v>
      </x:c>
      <x:c r="G28" s="7" t="n">
        <x:f>SUMIF($A$5:$A$563,A28,$D$5:$D$563)</x:f>
        <x:v>58985</x:v>
      </x:c>
    </x:row>
    <x:row r="29">
      <x:c r="A29" t="str">
        <x:v>Quadari Enterprises</x:v>
      </x:c>
      <x:c r="B29" t="str">
        <x:v>NA/3836/25-26</x:v>
      </x:c>
      <x:c r="C29" s="6" t="n">
        <x:v>45990</x:v>
      </x:c>
      <x:c r="D29" s="7" t="n">
        <x:v>2662</x:v>
      </x:c>
      <x:c r="E29" s="6" t="n">
        <x:v>45990</x:v>
      </x:c>
      <x:c r="F29" t="n">
        <x:f>TODAY()-E29</x:f>
        <x:v>245</x:v>
      </x:c>
      <x:c r="G29" s="7" t="n">
        <x:f>SUMIF($A$5:$A$563,A29,$D$5:$D$563)</x:f>
        <x:v>58985</x:v>
      </x:c>
    </x:row>
    <x:row r="30">
      <x:c r="A30" t="str">
        <x:v>Quadari Enterprises</x:v>
      </x:c>
      <x:c r="B30" t="str">
        <x:v>NA/4974/25-26</x:v>
      </x:c>
      <x:c r="C30" s="6" t="n">
        <x:v>46063</x:v>
      </x:c>
      <x:c r="D30" s="7" t="n">
        <x:v>2455</x:v>
      </x:c>
      <x:c r="E30" s="6" t="n">
        <x:v>46063</x:v>
      </x:c>
      <x:c r="F30" t="n">
        <x:f>TODAY()-E30</x:f>
        <x:v>172</x:v>
      </x:c>
      <x:c r="G30" s="7" t="n">
        <x:f>SUMIF($A$5:$A$563,A30,$D$5:$D$563)</x:f>
        <x:v>58985</x:v>
      </x:c>
    </x:row>
    <x:row r="31">
      <x:c r="A31" t="str">
        <x:v>Quadari Enterprises</x:v>
      </x:c>
      <x:c r="B31" t="str">
        <x:v>NA/5315/25-26</x:v>
      </x:c>
      <x:c r="C31" s="6" t="n">
        <x:v>46086</x:v>
      </x:c>
      <x:c r="D31" s="7" t="n">
        <x:v>207</x:v>
      </x:c>
      <x:c r="E31" s="6" t="n">
        <x:v>46086</x:v>
      </x:c>
      <x:c r="F31" t="n">
        <x:f>TODAY()-E31</x:f>
        <x:v>149</x:v>
      </x:c>
      <x:c r="G31" s="7" t="n">
        <x:f>SUMIF($A$5:$A$563,A31,$D$5:$D$563)</x:f>
        <x:v>58985</x:v>
      </x:c>
    </x:row>
    <x:row r="32">
      <x:c r="A32" t="str">
        <x:v>Quadari Enterprises</x:v>
      </x:c>
      <x:c r="B32" t="str">
        <x:v>NA/5368/25-26</x:v>
      </x:c>
      <x:c r="C32" s="6" t="n">
        <x:v>46088</x:v>
      </x:c>
      <x:c r="D32" s="7" t="n">
        <x:v>410</x:v>
      </x:c>
      <x:c r="E32" s="6" t="n">
        <x:v>46088</x:v>
      </x:c>
      <x:c r="F32" t="n">
        <x:f>TODAY()-E32</x:f>
        <x:v>147</x:v>
      </x:c>
      <x:c r="G32" s="7" t="n">
        <x:f>SUMIF($A$5:$A$563,A32,$D$5:$D$563)</x:f>
        <x:v>58985</x:v>
      </x:c>
    </x:row>
    <x:row r="33">
      <x:c r="A33" t="str">
        <x:v>Quadari Enterprises</x:v>
      </x:c>
      <x:c r="B33" t="str">
        <x:v>NA/5417/25-26</x:v>
      </x:c>
      <x:c r="C33" s="6" t="n">
        <x:v>46092</x:v>
      </x:c>
      <x:c r="D33" s="7" t="n">
        <x:v>9214</x:v>
      </x:c>
      <x:c r="E33" s="6" t="n">
        <x:v>46092</x:v>
      </x:c>
      <x:c r="F33" t="n">
        <x:f>TODAY()-E33</x:f>
        <x:v>143</x:v>
      </x:c>
      <x:c r="G33" s="7" t="n">
        <x:f>SUMIF($A$5:$A$563,A33,$D$5:$D$563)</x:f>
        <x:v>58985</x:v>
      </x:c>
    </x:row>
    <x:row r="34">
      <x:c r="A34" t="str">
        <x:v>Quadari Enterprises</x:v>
      </x:c>
      <x:c r="B34" t="str">
        <x:v>NA/5690/25-26</x:v>
      </x:c>
      <x:c r="C34" s="6" t="n">
        <x:v>46109</x:v>
      </x:c>
      <x:c r="D34" s="7" t="n">
        <x:v>223</x:v>
      </x:c>
      <x:c r="E34" s="6" t="n">
        <x:v>46109</x:v>
      </x:c>
      <x:c r="F34" t="n">
        <x:f>TODAY()-E34</x:f>
        <x:v>126</x:v>
      </x:c>
      <x:c r="G34" s="7" t="n">
        <x:f>SUMIF($A$5:$A$563,A34,$D$5:$D$563)</x:f>
        <x:v>58985</x:v>
      </x:c>
    </x:row>
    <x:row r="35">
      <x:c r="A35" t="str">
        <x:v>Quadari Enterprises</x:v>
      </x:c>
      <x:c r="B35" t="str">
        <x:v>NA/0332/26-27</x:v>
      </x:c>
      <x:c r="C35" s="6" t="n">
        <x:v>46137</x:v>
      </x:c>
      <x:c r="D35" s="7" t="n">
        <x:v>4000</x:v>
      </x:c>
      <x:c r="E35" s="6" t="n">
        <x:v>46137</x:v>
      </x:c>
      <x:c r="F35" t="n">
        <x:f>TODAY()-E35</x:f>
        <x:v>98</x:v>
      </x:c>
      <x:c r="G35" s="7" t="n">
        <x:f>SUMIF($A$5:$A$563,A35,$D$5:$D$563)</x:f>
        <x:v>58985</x:v>
      </x:c>
    </x:row>
    <x:row r="36">
      <x:c r="A36" t="str">
        <x:v>Quadari Enterprises</x:v>
      </x:c>
      <x:c r="B36" t="str">
        <x:v>NA/0539/26-27</x:v>
      </x:c>
      <x:c r="C36" s="6" t="n">
        <x:v>46154</x:v>
      </x:c>
      <x:c r="D36" s="7" t="n">
        <x:v>2784</x:v>
      </x:c>
      <x:c r="E36" s="6" t="n">
        <x:v>46154</x:v>
      </x:c>
      <x:c r="F36" t="n">
        <x:f>TODAY()-E36</x:f>
        <x:v>81</x:v>
      </x:c>
      <x:c r="G36" s="7" t="n">
        <x:f>SUMIF($A$5:$A$563,A36,$D$5:$D$563)</x:f>
        <x:v>58985</x:v>
      </x:c>
    </x:row>
    <x:row r="37">
      <x:c r="A37" t="str">
        <x:v>Quadari Enterprises</x:v>
      </x:c>
      <x:c r="B37" t="str">
        <x:v>NA/1276/26-27</x:v>
      </x:c>
      <x:c r="C37" s="6" t="n">
        <x:v>46202</x:v>
      </x:c>
      <x:c r="D37" s="7" t="n">
        <x:v>1403</x:v>
      </x:c>
      <x:c r="E37" s="6" t="n">
        <x:v>46202</x:v>
      </x:c>
      <x:c r="F37" t="n">
        <x:f>TODAY()-E37</x:f>
        <x:v>33</x:v>
      </x:c>
      <x:c r="G37" s="7" t="n">
        <x:f>SUMIF($A$5:$A$563,A37,$D$5:$D$563)</x:f>
        <x:v>58985</x:v>
      </x:c>
    </x:row>
    <x:row r="38">
      <x:c r="A38" t="str">
        <x:v>Quadari Enterprises</x:v>
      </x:c>
      <x:c r="B38" t="str">
        <x:v>NA/1435/26-27</x:v>
      </x:c>
      <x:c r="C38" s="6" t="n">
        <x:v>46211</x:v>
      </x:c>
      <x:c r="D38" s="7" t="n">
        <x:v>25920</x:v>
      </x:c>
      <x:c r="E38" s="6" t="n">
        <x:v>46211</x:v>
      </x:c>
      <x:c r="F38" t="n">
        <x:f>TODAY()-E38</x:f>
        <x:v>24</x:v>
      </x:c>
      <x:c r="G38" s="7" t="n">
        <x:f>SUMIF($A$5:$A$563,A38,$D$5:$D$563)</x:f>
        <x:v>58985</x:v>
      </x:c>
    </x:row>
    <x:row r="39">
      <x:c r="A39" t="str">
        <x:v>V Guard Industries Ltd (EMW)</x:v>
      </x:c>
      <x:c r="B39" t="str">
        <x:v>NA/2542/25-26</x:v>
      </x:c>
      <x:c r="C39" s="6" t="n">
        <x:v>45912</x:v>
      </x:c>
      <x:c r="D39" s="7" t="n">
        <x:v>5206</x:v>
      </x:c>
      <x:c r="E39" s="6" t="n">
        <x:v>45912</x:v>
      </x:c>
      <x:c r="F39" t="n">
        <x:f>TODAY()-E39</x:f>
        <x:v>323</x:v>
      </x:c>
      <x:c r="G39" s="7" t="n">
        <x:f>SUMIF($A$5:$A$563,A39,$D$5:$D$563)</x:f>
        <x:v>70377</x:v>
      </x:c>
    </x:row>
    <x:row r="40">
      <x:c r="A40" t="str">
        <x:v>V Guard Industries Ltd (EMW)</x:v>
      </x:c>
      <x:c r="B40" t="str">
        <x:v>NA/3775/25-26</x:v>
      </x:c>
      <x:c r="C40" s="6" t="n">
        <x:v>45987</x:v>
      </x:c>
      <x:c r="D40" s="7" t="n">
        <x:v>6077</x:v>
      </x:c>
      <x:c r="E40" s="6" t="n">
        <x:v>45987</x:v>
      </x:c>
      <x:c r="F40" t="n">
        <x:f>TODAY()-E40</x:f>
        <x:v>248</x:v>
      </x:c>
      <x:c r="G40" s="7" t="n">
        <x:f>SUMIF($A$5:$A$563,A40,$D$5:$D$563)</x:f>
        <x:v>70377</x:v>
      </x:c>
    </x:row>
    <x:row r="41">
      <x:c r="A41" t="str">
        <x:v>V Guard Industries Ltd (EMW)</x:v>
      </x:c>
      <x:c r="B41" t="str">
        <x:v>NA/1318/26-27</x:v>
      </x:c>
      <x:c r="C41" s="6" t="n">
        <x:v>46205</x:v>
      </x:c>
      <x:c r="D41" s="7" t="n">
        <x:v>6997</x:v>
      </x:c>
      <x:c r="E41" s="6" t="n">
        <x:v>46205</x:v>
      </x:c>
      <x:c r="F41" t="n">
        <x:f>TODAY()-E41</x:f>
        <x:v>30</x:v>
      </x:c>
      <x:c r="G41" s="7" t="n">
        <x:f>SUMIF($A$5:$A$563,A41,$D$5:$D$563)</x:f>
        <x:v>70377</x:v>
      </x:c>
    </x:row>
    <x:row r="42">
      <x:c r="A42" t="str">
        <x:v>V Guard Industries Ltd (EMW)</x:v>
      </x:c>
      <x:c r="B42" t="str">
        <x:v>NA/1319/26-27</x:v>
      </x:c>
      <x:c r="C42" s="6" t="n">
        <x:v>46205</x:v>
      </x:c>
      <x:c r="D42" s="7" t="n">
        <x:v>1485</x:v>
      </x:c>
      <x:c r="E42" s="6" t="n">
        <x:v>46205</x:v>
      </x:c>
      <x:c r="F42" t="n">
        <x:f>TODAY()-E42</x:f>
        <x:v>30</x:v>
      </x:c>
      <x:c r="G42" s="7" t="n">
        <x:f>SUMIF($A$5:$A$563,A42,$D$5:$D$563)</x:f>
        <x:v>70377</x:v>
      </x:c>
    </x:row>
    <x:row r="43">
      <x:c r="A43" t="str">
        <x:v>V Guard Industries Ltd (EMW)</x:v>
      </x:c>
      <x:c r="B43" t="str">
        <x:v>NA/1377/26-27</x:v>
      </x:c>
      <x:c r="C43" s="6" t="n">
        <x:v>46207</x:v>
      </x:c>
      <x:c r="D43" s="7" t="n">
        <x:v>3510</x:v>
      </x:c>
      <x:c r="E43" s="6" t="n">
        <x:v>46207</x:v>
      </x:c>
      <x:c r="F43" t="n">
        <x:f>TODAY()-E43</x:f>
        <x:v>28</x:v>
      </x:c>
      <x:c r="G43" s="7" t="n">
        <x:f>SUMIF($A$5:$A$563,A43,$D$5:$D$563)</x:f>
        <x:v>70377</x:v>
      </x:c>
    </x:row>
    <x:row r="44">
      <x:c r="A44" t="str">
        <x:v>V Guard Industries Ltd (EMW)</x:v>
      </x:c>
      <x:c r="B44" t="str">
        <x:v>NA/1487/26-27</x:v>
      </x:c>
      <x:c r="C44" s="6" t="n">
        <x:v>46214</x:v>
      </x:c>
      <x:c r="D44" s="7" t="n">
        <x:v>12107</x:v>
      </x:c>
      <x:c r="E44" s="6" t="n">
        <x:v>46214</x:v>
      </x:c>
      <x:c r="F44" t="n">
        <x:f>TODAY()-E44</x:f>
        <x:v>21</x:v>
      </x:c>
      <x:c r="G44" s="7" t="n">
        <x:f>SUMIF($A$5:$A$563,A44,$D$5:$D$563)</x:f>
        <x:v>70377</x:v>
      </x:c>
    </x:row>
    <x:row r="45">
      <x:c r="A45" t="str">
        <x:v>V Guard Industries Ltd (EMW)</x:v>
      </x:c>
      <x:c r="B45" t="str">
        <x:v>NA/1550/26-27</x:v>
      </x:c>
      <x:c r="C45" s="6" t="n">
        <x:v>46217</x:v>
      </x:c>
      <x:c r="D45" s="7" t="n">
        <x:v>16000</x:v>
      </x:c>
      <x:c r="E45" s="6" t="n">
        <x:v>46217</x:v>
      </x:c>
      <x:c r="F45" t="n">
        <x:f>TODAY()-E45</x:f>
        <x:v>18</x:v>
      </x:c>
      <x:c r="G45" s="7" t="n">
        <x:f>SUMIF($A$5:$A$563,A45,$D$5:$D$563)</x:f>
        <x:v>70377</x:v>
      </x:c>
    </x:row>
    <x:row r="46">
      <x:c r="A46" t="str">
        <x:v>V Guard Industries Ltd (EMW)</x:v>
      </x:c>
      <x:c r="B46" t="str">
        <x:v>NA/1551/26-27</x:v>
      </x:c>
      <x:c r="C46" s="6" t="n">
        <x:v>46217</x:v>
      </x:c>
      <x:c r="D46" s="7" t="n">
        <x:v>4071</x:v>
      </x:c>
      <x:c r="E46" s="6" t="n">
        <x:v>46217</x:v>
      </x:c>
      <x:c r="F46" t="n">
        <x:f>TODAY()-E46</x:f>
        <x:v>18</x:v>
      </x:c>
      <x:c r="G46" s="7" t="n">
        <x:f>SUMIF($A$5:$A$563,A46,$D$5:$D$563)</x:f>
        <x:v>70377</x:v>
      </x:c>
    </x:row>
    <x:row r="47">
      <x:c r="A47" t="str">
        <x:v>V Guard Industries Ltd (EMW)</x:v>
      </x:c>
      <x:c r="B47" t="str">
        <x:v>NA/1672/26-27</x:v>
      </x:c>
      <x:c r="C47" s="6" t="n">
        <x:v>46223</x:v>
      </x:c>
      <x:c r="D47" s="7" t="n">
        <x:v>1626</x:v>
      </x:c>
      <x:c r="E47" s="6" t="n">
        <x:v>46223</x:v>
      </x:c>
      <x:c r="F47" t="n">
        <x:f>TODAY()-E47</x:f>
        <x:v>12</x:v>
      </x:c>
      <x:c r="G47" s="7" t="n">
        <x:f>SUMIF($A$5:$A$563,A47,$D$5:$D$563)</x:f>
        <x:v>70377</x:v>
      </x:c>
    </x:row>
    <x:row r="48">
      <x:c r="A48" t="str">
        <x:v>V Guard Industries Ltd (EMW)</x:v>
      </x:c>
      <x:c r="B48" t="str">
        <x:v>NA/1705/26-27</x:v>
      </x:c>
      <x:c r="C48" s="6" t="n">
        <x:v>46225</x:v>
      </x:c>
      <x:c r="D48" s="7" t="n">
        <x:v>5300</x:v>
      </x:c>
      <x:c r="E48" s="6" t="n">
        <x:v>46225</x:v>
      </x:c>
      <x:c r="F48" t="n">
        <x:f>TODAY()-E48</x:f>
        <x:v>10</x:v>
      </x:c>
      <x:c r="G48" s="7" t="n">
        <x:f>SUMIF($A$5:$A$563,A48,$D$5:$D$563)</x:f>
        <x:v>70377</x:v>
      </x:c>
    </x:row>
    <x:row r="49">
      <x:c r="A49" t="str">
        <x:v>V Guard Industries Ltd (EMW)</x:v>
      </x:c>
      <x:c r="B49" t="str">
        <x:v>NA/1746/26-27</x:v>
      </x:c>
      <x:c r="C49" s="6" t="n">
        <x:v>46227</x:v>
      </x:c>
      <x:c r="D49" s="7" t="n">
        <x:v>1360</x:v>
      </x:c>
      <x:c r="E49" s="6" t="n">
        <x:v>46227</x:v>
      </x:c>
      <x:c r="F49" t="n">
        <x:f>TODAY()-E49</x:f>
        <x:v>8</x:v>
      </x:c>
      <x:c r="G49" s="7" t="n">
        <x:f>SUMIF($A$5:$A$563,A49,$D$5:$D$563)</x:f>
        <x:v>70377</x:v>
      </x:c>
    </x:row>
    <x:row r="50">
      <x:c r="A50" t="str">
        <x:v>V Guard Industries Ltd (EMW)</x:v>
      </x:c>
      <x:c r="B50" t="str">
        <x:v>NA/1760/26-27</x:v>
      </x:c>
      <x:c r="C50" s="6" t="n">
        <x:v>46228</x:v>
      </x:c>
      <x:c r="D50" s="7" t="n">
        <x:v>1652</x:v>
      </x:c>
      <x:c r="E50" s="6" t="n">
        <x:v>46228</x:v>
      </x:c>
      <x:c r="F50" t="n">
        <x:f>TODAY()-E50</x:f>
        <x:v>7</x:v>
      </x:c>
      <x:c r="G50" s="7" t="n">
        <x:f>SUMIF($A$5:$A$563,A50,$D$5:$D$563)</x:f>
        <x:v>70377</x:v>
      </x:c>
    </x:row>
    <x:row r="51">
      <x:c r="A51" t="str">
        <x:v>V Guard Industries Ltd (EMW)</x:v>
      </x:c>
      <x:c r="B51" t="str">
        <x:v>NA/1857/26-27</x:v>
      </x:c>
      <x:c r="C51" s="6" t="n">
        <x:v>46233</x:v>
      </x:c>
      <x:c r="D51" s="7" t="n">
        <x:v>1446</x:v>
      </x:c>
      <x:c r="E51" s="6" t="n">
        <x:v>46233</x:v>
      </x:c>
      <x:c r="F51" t="n">
        <x:f>TODAY()-E51</x:f>
        <x:v>2</x:v>
      </x:c>
      <x:c r="G51" s="7" t="n">
        <x:f>SUMIF($A$5:$A$563,A51,$D$5:$D$563)</x:f>
        <x:v>70377</x:v>
      </x:c>
    </x:row>
    <x:row r="52">
      <x:c r="A52" t="str">
        <x:v>V Guard Industries Ltd (EMW)</x:v>
      </x:c>
      <x:c r="B52" t="str">
        <x:v>NA/1858/26-27</x:v>
      </x:c>
      <x:c r="C52" s="6" t="n">
        <x:v>46233</x:v>
      </x:c>
      <x:c r="D52" s="7" t="n">
        <x:v>2950</x:v>
      </x:c>
      <x:c r="E52" s="6" t="n">
        <x:v>46233</x:v>
      </x:c>
      <x:c r="F52" t="n">
        <x:f>TODAY()-E52</x:f>
        <x:v>2</x:v>
      </x:c>
      <x:c r="G52" s="7" t="n">
        <x:f>SUMIF($A$5:$A$563,A52,$D$5:$D$563)</x:f>
        <x:v>70377</x:v>
      </x:c>
    </x:row>
    <x:row r="53">
      <x:c r="A53" t="str">
        <x:v>V Guard Industries Ltd (EMW)</x:v>
      </x:c>
      <x:c r="B53" t="str">
        <x:v>NA/1869/26-27</x:v>
      </x:c>
      <x:c r="C53" s="6" t="n">
        <x:v>46234</x:v>
      </x:c>
      <x:c r="D53" s="7" t="n">
        <x:v>590</x:v>
      </x:c>
      <x:c r="E53" s="6" t="n">
        <x:v>46234</x:v>
      </x:c>
      <x:c r="F53" t="n">
        <x:f>TODAY()-E53</x:f>
        <x:v>1</x:v>
      </x:c>
      <x:c r="G53" s="7" t="n">
        <x:f>SUMIF($A$5:$A$563,A53,$D$5:$D$563)</x:f>
        <x:v>70377</x:v>
      </x:c>
    </x:row>
    <x:row r="54">
      <x:c r="A54" t="str">
        <x:v>Sri Meenakshi Hardware and Tools</x:v>
      </x:c>
      <x:c r="B54" t="str">
        <x:v>NA/2883/25-26</x:v>
      </x:c>
      <x:c r="C54" s="6" t="n">
        <x:v>45934</x:v>
      </x:c>
      <x:c r="D54" s="7" t="n">
        <x:v>16089</x:v>
      </x:c>
      <x:c r="E54" s="6" t="n">
        <x:v>45934</x:v>
      </x:c>
      <x:c r="F54" t="n">
        <x:f>TODAY()-E54</x:f>
        <x:v>301</x:v>
      </x:c>
      <x:c r="G54" s="7" t="n">
        <x:f>SUMIF($A$5:$A$563,A54,$D$5:$D$563)</x:f>
        <x:v>158534</x:v>
      </x:c>
    </x:row>
    <x:row r="55">
      <x:c r="A55" t="str">
        <x:v>Sri Meenakshi Hardware and Tools</x:v>
      </x:c>
      <x:c r="B55" t="str">
        <x:v>NA/3018/25-26</x:v>
      </x:c>
      <x:c r="C55" s="6" t="n">
        <x:v>45941</x:v>
      </x:c>
      <x:c r="D55" s="7" t="n">
        <x:v>2000</x:v>
      </x:c>
      <x:c r="E55" s="6" t="n">
        <x:v>45941</x:v>
      </x:c>
      <x:c r="F55" t="n">
        <x:f>TODAY()-E55</x:f>
        <x:v>294</x:v>
      </x:c>
      <x:c r="G55" s="7" t="n">
        <x:f>SUMIF($A$5:$A$563,A55,$D$5:$D$563)</x:f>
        <x:v>158534</x:v>
      </x:c>
    </x:row>
    <x:row r="56">
      <x:c r="A56" t="str">
        <x:v>Sri Meenakshi Hardware and Tools</x:v>
      </x:c>
      <x:c r="B56" t="str">
        <x:v>NA/3121/25-26</x:v>
      </x:c>
      <x:c r="C56" s="6" t="n">
        <x:v>45948</x:v>
      </x:c>
      <x:c r="D56" s="7" t="n">
        <x:v>6445</x:v>
      </x:c>
      <x:c r="E56" s="6" t="n">
        <x:v>45948</x:v>
      </x:c>
      <x:c r="F56" t="n">
        <x:f>TODAY()-E56</x:f>
        <x:v>287</x:v>
      </x:c>
      <x:c r="G56" s="7" t="n">
        <x:f>SUMIF($A$5:$A$563,A56,$D$5:$D$563)</x:f>
        <x:v>158534</x:v>
      </x:c>
    </x:row>
    <x:row r="57">
      <x:c r="A57" t="str">
        <x:v>Sri Meenakshi Hardware and Tools</x:v>
      </x:c>
      <x:c r="B57" t="str">
        <x:v>NA/3476/25-26</x:v>
      </x:c>
      <x:c r="C57" s="6" t="n">
        <x:v>45971</x:v>
      </x:c>
      <x:c r="D57" s="7" t="n">
        <x:v>4800</x:v>
      </x:c>
      <x:c r="E57" s="6" t="n">
        <x:v>45971</x:v>
      </x:c>
      <x:c r="F57" t="n">
        <x:f>TODAY()-E57</x:f>
        <x:v>264</x:v>
      </x:c>
      <x:c r="G57" s="7" t="n">
        <x:f>SUMIF($A$5:$A$563,A57,$D$5:$D$563)</x:f>
        <x:v>158534</x:v>
      </x:c>
    </x:row>
    <x:row r="58">
      <x:c r="A58" t="str">
        <x:v>Sri Meenakshi Hardware and Tools</x:v>
      </x:c>
      <x:c r="B58" t="str">
        <x:v>NA/3960/25-26</x:v>
      </x:c>
      <x:c r="C58" s="6" t="n">
        <x:v>45997</x:v>
      </x:c>
      <x:c r="D58" s="7" t="n">
        <x:v>5500</x:v>
      </x:c>
      <x:c r="E58" s="6" t="n">
        <x:v>45997</x:v>
      </x:c>
      <x:c r="F58" t="n">
        <x:f>TODAY()-E58</x:f>
        <x:v>238</x:v>
      </x:c>
      <x:c r="G58" s="7" t="n">
        <x:f>SUMIF($A$5:$A$563,A58,$D$5:$D$563)</x:f>
        <x:v>158534</x:v>
      </x:c>
    </x:row>
    <x:row r="59">
      <x:c r="A59" t="str">
        <x:v>Sri Meenakshi Hardware and Tools</x:v>
      </x:c>
      <x:c r="B59" t="str">
        <x:v>NA/4185/25-26</x:v>
      </x:c>
      <x:c r="C59" s="6" t="n">
        <x:v>46010</x:v>
      </x:c>
      <x:c r="D59" s="7" t="n">
        <x:v>26000</x:v>
      </x:c>
      <x:c r="E59" s="6" t="n">
        <x:v>46010</x:v>
      </x:c>
      <x:c r="F59" t="n">
        <x:f>TODAY()-E59</x:f>
        <x:v>225</x:v>
      </x:c>
      <x:c r="G59" s="7" t="n">
        <x:f>SUMIF($A$5:$A$563,A59,$D$5:$D$563)</x:f>
        <x:v>158534</x:v>
      </x:c>
    </x:row>
    <x:row r="60">
      <x:c r="A60" t="str">
        <x:v>Sri Meenakshi Hardware and Tools</x:v>
      </x:c>
      <x:c r="B60" t="str">
        <x:v>NA/4198/25-26</x:v>
      </x:c>
      <x:c r="C60" s="6" t="n">
        <x:v>46011</x:v>
      </x:c>
      <x:c r="D60" s="7" t="n">
        <x:v>4250</x:v>
      </x:c>
      <x:c r="E60" s="6" t="n">
        <x:v>46011</x:v>
      </x:c>
      <x:c r="F60" t="n">
        <x:f>TODAY()-E60</x:f>
        <x:v>224</x:v>
      </x:c>
      <x:c r="G60" s="7" t="n">
        <x:f>SUMIF($A$5:$A$563,A60,$D$5:$D$563)</x:f>
        <x:v>158534</x:v>
      </x:c>
    </x:row>
    <x:row r="61">
      <x:c r="A61" t="str">
        <x:v>Sri Meenakshi Hardware and Tools</x:v>
      </x:c>
      <x:c r="B61" t="str">
        <x:v>NA/4709/25-26</x:v>
      </x:c>
      <x:c r="C61" s="6" t="n">
        <x:v>46046</x:v>
      </x:c>
      <x:c r="D61" s="7" t="n">
        <x:v>13200</x:v>
      </x:c>
      <x:c r="E61" s="6" t="n">
        <x:v>46046</x:v>
      </x:c>
      <x:c r="F61" t="n">
        <x:f>TODAY()-E61</x:f>
        <x:v>189</x:v>
      </x:c>
      <x:c r="G61" s="7" t="n">
        <x:f>SUMIF($A$5:$A$563,A61,$D$5:$D$563)</x:f>
        <x:v>158534</x:v>
      </x:c>
    </x:row>
    <x:row r="62">
      <x:c r="A62" t="str">
        <x:v>Sri Meenakshi Hardware and Tools</x:v>
      </x:c>
      <x:c r="B62" t="str">
        <x:v>NA/4726/25-26</x:v>
      </x:c>
      <x:c r="C62" s="6" t="n">
        <x:v>46046</x:v>
      </x:c>
      <x:c r="D62" s="7" t="n">
        <x:v>2643</x:v>
      </x:c>
      <x:c r="E62" s="6" t="n">
        <x:v>46046</x:v>
      </x:c>
      <x:c r="F62" t="n">
        <x:f>TODAY()-E62</x:f>
        <x:v>189</x:v>
      </x:c>
      <x:c r="G62" s="7" t="n">
        <x:f>SUMIF($A$5:$A$563,A62,$D$5:$D$563)</x:f>
        <x:v>158534</x:v>
      </x:c>
    </x:row>
    <x:row r="63">
      <x:c r="A63" t="str">
        <x:v>Sri Meenakshi Hardware and Tools</x:v>
      </x:c>
      <x:c r="B63" t="str">
        <x:v>NA/4742/25-26</x:v>
      </x:c>
      <x:c r="C63" s="6" t="n">
        <x:v>46049</x:v>
      </x:c>
      <x:c r="D63" s="7" t="n">
        <x:v>4900</x:v>
      </x:c>
      <x:c r="E63" s="6" t="n">
        <x:v>46049</x:v>
      </x:c>
      <x:c r="F63" t="n">
        <x:f>TODAY()-E63</x:f>
        <x:v>186</x:v>
      </x:c>
      <x:c r="G63" s="7" t="n">
        <x:f>SUMIF($A$5:$A$563,A63,$D$5:$D$563)</x:f>
        <x:v>158534</x:v>
      </x:c>
    </x:row>
    <x:row r="64">
      <x:c r="A64" t="str">
        <x:v>Sri Meenakshi Hardware and Tools</x:v>
      </x:c>
      <x:c r="B64" t="str">
        <x:v>NA/4811/25-26</x:v>
      </x:c>
      <x:c r="C64" s="6" t="n">
        <x:v>46053</x:v>
      </x:c>
      <x:c r="D64" s="7" t="n">
        <x:v>1700</x:v>
      </x:c>
      <x:c r="E64" s="6" t="n">
        <x:v>46053</x:v>
      </x:c>
      <x:c r="F64" t="n">
        <x:f>TODAY()-E64</x:f>
        <x:v>182</x:v>
      </x:c>
      <x:c r="G64" s="7" t="n">
        <x:f>SUMIF($A$5:$A$563,A64,$D$5:$D$563)</x:f>
        <x:v>158534</x:v>
      </x:c>
    </x:row>
    <x:row r="65">
      <x:c r="A65" t="str">
        <x:v>Sri Meenakshi Hardware and Tools</x:v>
      </x:c>
      <x:c r="B65" t="str">
        <x:v>NA/5150/25-26</x:v>
      </x:c>
      <x:c r="C65" s="6" t="n">
        <x:v>46074</x:v>
      </x:c>
      <x:c r="D65" s="7" t="n">
        <x:v>158</x:v>
      </x:c>
      <x:c r="E65" s="6" t="n">
        <x:v>46074</x:v>
      </x:c>
      <x:c r="F65" t="n">
        <x:f>TODAY()-E65</x:f>
        <x:v>161</x:v>
      </x:c>
      <x:c r="G65" s="7" t="n">
        <x:f>SUMIF($A$5:$A$563,A65,$D$5:$D$563)</x:f>
        <x:v>158534</x:v>
      </x:c>
    </x:row>
    <x:row r="66">
      <x:c r="A66" t="str">
        <x:v>Sri Meenakshi Hardware and Tools</x:v>
      </x:c>
      <x:c r="B66" t="str">
        <x:v>NA/5246/25-26</x:v>
      </x:c>
      <x:c r="C66" s="6" t="n">
        <x:v>46080</x:v>
      </x:c>
      <x:c r="D66" s="7" t="n">
        <x:v>850</x:v>
      </x:c>
      <x:c r="E66" s="6" t="n">
        <x:v>46080</x:v>
      </x:c>
      <x:c r="F66" t="n">
        <x:f>TODAY()-E66</x:f>
        <x:v>155</x:v>
      </x:c>
      <x:c r="G66" s="7" t="n">
        <x:f>SUMIF($A$5:$A$563,A66,$D$5:$D$563)</x:f>
        <x:v>158534</x:v>
      </x:c>
    </x:row>
    <x:row r="67">
      <x:c r="A67" t="str">
        <x:v>Sri Meenakshi Hardware and Tools</x:v>
      </x:c>
      <x:c r="B67" t="str">
        <x:v>NA/5276/25-26</x:v>
      </x:c>
      <x:c r="C67" s="6" t="n">
        <x:v>46081</x:v>
      </x:c>
      <x:c r="D67" s="7" t="n">
        <x:v>5650</x:v>
      </x:c>
      <x:c r="E67" s="6" t="n">
        <x:v>46081</x:v>
      </x:c>
      <x:c r="F67" t="n">
        <x:f>TODAY()-E67</x:f>
        <x:v>154</x:v>
      </x:c>
      <x:c r="G67" s="7" t="n">
        <x:f>SUMIF($A$5:$A$563,A67,$D$5:$D$563)</x:f>
        <x:v>158534</x:v>
      </x:c>
    </x:row>
    <x:row r="68">
      <x:c r="A68" t="str">
        <x:v>Sri Meenakshi Hardware and Tools</x:v>
      </x:c>
      <x:c r="B68" t="str">
        <x:v>NA/5505/25-26</x:v>
      </x:c>
      <x:c r="C68" s="6" t="n">
        <x:v>46098</x:v>
      </x:c>
      <x:c r="D68" s="7" t="n">
        <x:v>2500</x:v>
      </x:c>
      <x:c r="E68" s="6" t="n">
        <x:v>46098</x:v>
      </x:c>
      <x:c r="F68" t="n">
        <x:f>TODAY()-E68</x:f>
        <x:v>137</x:v>
      </x:c>
      <x:c r="G68" s="7" t="n">
        <x:f>SUMIF($A$5:$A$563,A68,$D$5:$D$563)</x:f>
        <x:v>158534</x:v>
      </x:c>
    </x:row>
    <x:row r="69">
      <x:c r="A69" t="str">
        <x:v>Sri Meenakshi Hardware and Tools</x:v>
      </x:c>
      <x:c r="B69" t="str">
        <x:v>NA/5584/25-26</x:v>
      </x:c>
      <x:c r="C69" s="6" t="n">
        <x:v>46102</x:v>
      </x:c>
      <x:c r="D69" s="7" t="n">
        <x:v>2880</x:v>
      </x:c>
      <x:c r="E69" s="6" t="n">
        <x:v>46102</x:v>
      </x:c>
      <x:c r="F69" t="n">
        <x:f>TODAY()-E69</x:f>
        <x:v>133</x:v>
      </x:c>
      <x:c r="G69" s="7" t="n">
        <x:f>SUMIF($A$5:$A$563,A69,$D$5:$D$563)</x:f>
        <x:v>158534</x:v>
      </x:c>
    </x:row>
    <x:row r="70">
      <x:c r="A70" t="str">
        <x:v>Sri Meenakshi Hardware and Tools</x:v>
      </x:c>
      <x:c r="B70" t="str">
        <x:v>NA/0080/26-27</x:v>
      </x:c>
      <x:c r="C70" s="6" t="n">
        <x:v>46118</x:v>
      </x:c>
      <x:c r="D70" s="7" t="n">
        <x:v>2945</x:v>
      </x:c>
      <x:c r="E70" s="6" t="n">
        <x:v>46118</x:v>
      </x:c>
      <x:c r="F70" t="n">
        <x:f>TODAY()-E70</x:f>
        <x:v>117</x:v>
      </x:c>
      <x:c r="G70" s="7" t="n">
        <x:f>SUMIF($A$5:$A$563,A70,$D$5:$D$563)</x:f>
        <x:v>158534</x:v>
      </x:c>
    </x:row>
    <x:row r="71">
      <x:c r="A71" t="str">
        <x:v>Sri Meenakshi Hardware and Tools</x:v>
      </x:c>
      <x:c r="B71" t="str">
        <x:v>NA/0097/26-27</x:v>
      </x:c>
      <x:c r="C71" s="6" t="n">
        <x:v>46119</x:v>
      </x:c>
      <x:c r="D71" s="7" t="n">
        <x:v>2800</x:v>
      </x:c>
      <x:c r="E71" s="6" t="n">
        <x:v>46119</x:v>
      </x:c>
      <x:c r="F71" t="n">
        <x:f>TODAY()-E71</x:f>
        <x:v>116</x:v>
      </x:c>
      <x:c r="G71" s="7" t="n">
        <x:f>SUMIF($A$5:$A$563,A71,$D$5:$D$563)</x:f>
        <x:v>158534</x:v>
      </x:c>
    </x:row>
    <x:row r="72">
      <x:c r="A72" t="str">
        <x:v>Sri Meenakshi Hardware and Tools</x:v>
      </x:c>
      <x:c r="B72" t="str">
        <x:v>NA/0729/26-27</x:v>
      </x:c>
      <x:c r="C72" s="6" t="n">
        <x:v>46165</x:v>
      </x:c>
      <x:c r="D72" s="7" t="n">
        <x:v>3000</x:v>
      </x:c>
      <x:c r="E72" s="6" t="n">
        <x:v>46165</x:v>
      </x:c>
      <x:c r="F72" t="n">
        <x:f>TODAY()-E72</x:f>
        <x:v>70</x:v>
      </x:c>
      <x:c r="G72" s="7" t="n">
        <x:f>SUMIF($A$5:$A$563,A72,$D$5:$D$563)</x:f>
        <x:v>158534</x:v>
      </x:c>
    </x:row>
    <x:row r="73">
      <x:c r="A73" t="str">
        <x:v>Sri Meenakshi Hardware and Tools</x:v>
      </x:c>
      <x:c r="B73" t="str">
        <x:v>NA/1042/26-27</x:v>
      </x:c>
      <x:c r="C73" s="6" t="n">
        <x:v>46183</x:v>
      </x:c>
      <x:c r="D73" s="7" t="n">
        <x:v>5760</x:v>
      </x:c>
      <x:c r="E73" s="6" t="n">
        <x:v>46183</x:v>
      </x:c>
      <x:c r="F73" t="n">
        <x:f>TODAY()-E73</x:f>
        <x:v>52</x:v>
      </x:c>
      <x:c r="G73" s="7" t="n">
        <x:f>SUMIF($A$5:$A$563,A73,$D$5:$D$563)</x:f>
        <x:v>158534</x:v>
      </x:c>
    </x:row>
    <x:row r="74">
      <x:c r="A74" t="str">
        <x:v>Sri Meenakshi Hardware and Tools</x:v>
      </x:c>
      <x:c r="B74" t="str">
        <x:v>NA/1262/26-27</x:v>
      </x:c>
      <x:c r="C74" s="6" t="n">
        <x:v>46202</x:v>
      </x:c>
      <x:c r="D74" s="7" t="n">
        <x:v>2200</x:v>
      </x:c>
      <x:c r="E74" s="6" t="n">
        <x:v>46202</x:v>
      </x:c>
      <x:c r="F74" t="n">
        <x:f>TODAY()-E74</x:f>
        <x:v>33</x:v>
      </x:c>
      <x:c r="G74" s="7" t="n">
        <x:f>SUMIF($A$5:$A$563,A74,$D$5:$D$563)</x:f>
        <x:v>158534</x:v>
      </x:c>
    </x:row>
    <x:row r="75">
      <x:c r="A75" t="str">
        <x:v>Sri Meenakshi Hardware and Tools</x:v>
      </x:c>
      <x:c r="B75" t="str">
        <x:v>NA/1369/26-27</x:v>
      </x:c>
      <x:c r="C75" s="6" t="n">
        <x:v>46207</x:v>
      </x:c>
      <x:c r="D75" s="7" t="n">
        <x:v>2760</x:v>
      </x:c>
      <x:c r="E75" s="6" t="n">
        <x:v>46207</x:v>
      </x:c>
      <x:c r="F75" t="n">
        <x:f>TODAY()-E75</x:f>
        <x:v>28</x:v>
      </x:c>
      <x:c r="G75" s="7" t="n">
        <x:f>SUMIF($A$5:$A$563,A75,$D$5:$D$563)</x:f>
        <x:v>158534</x:v>
      </x:c>
    </x:row>
    <x:row r="76">
      <x:c r="A76" t="str">
        <x:v>Sri Meenakshi Hardware and Tools</x:v>
      </x:c>
      <x:c r="B76" t="str">
        <x:v>NA/1513/26-27</x:v>
      </x:c>
      <x:c r="C76" s="6" t="n">
        <x:v>46216</x:v>
      </x:c>
      <x:c r="D76" s="7" t="n">
        <x:v>8700</x:v>
      </x:c>
      <x:c r="E76" s="6" t="n">
        <x:v>46216</x:v>
      </x:c>
      <x:c r="F76" t="n">
        <x:f>TODAY()-E76</x:f>
        <x:v>19</x:v>
      </x:c>
      <x:c r="G76" s="7" t="n">
        <x:f>SUMIF($A$5:$A$563,A76,$D$5:$D$563)</x:f>
        <x:v>158534</x:v>
      </x:c>
    </x:row>
    <x:row r="77">
      <x:c r="A77" t="str">
        <x:v>Sri Meenakshi Hardware and Tools</x:v>
      </x:c>
      <x:c r="B77" t="str">
        <x:v>NA/1585/26-27</x:v>
      </x:c>
      <x:c r="C77" s="6" t="n">
        <x:v>46219</x:v>
      </x:c>
      <x:c r="D77" s="7" t="n">
        <x:v>29000</x:v>
      </x:c>
      <x:c r="E77" s="6" t="n">
        <x:v>46219</x:v>
      </x:c>
      <x:c r="F77" t="n">
        <x:f>TODAY()-E77</x:f>
        <x:v>16</x:v>
      </x:c>
      <x:c r="G77" s="7" t="n">
        <x:f>SUMIF($A$5:$A$563,A77,$D$5:$D$563)</x:f>
        <x:v>158534</x:v>
      </x:c>
    </x:row>
    <x:row r="78">
      <x:c r="A78" t="str">
        <x:v>Sri Meenakshi Hardware and Tools</x:v>
      </x:c>
      <x:c r="B78" t="str">
        <x:v>NA/1865/26-27</x:v>
      </x:c>
      <x:c r="C78" s="6" t="n">
        <x:v>46234</x:v>
      </x:c>
      <x:c r="D78" s="7" t="n">
        <x:v>1804</x:v>
      </x:c>
      <x:c r="E78" s="6" t="n">
        <x:v>46234</x:v>
      </x:c>
      <x:c r="F78" t="n">
        <x:f>TODAY()-E78</x:f>
        <x:v>1</x:v>
      </x:c>
      <x:c r="G78" s="7" t="n">
        <x:f>SUMIF($A$5:$A$563,A78,$D$5:$D$563)</x:f>
        <x:v>158534</x:v>
      </x:c>
    </x:row>
    <x:row r="79">
      <x:c r="A79" t="str">
        <x:v>IntegratedConveyors&amp;PaclineAutomationTechnologies</x:v>
      </x:c>
      <x:c r="B79" t="str">
        <x:v>NA/2916/25-26</x:v>
      </x:c>
      <x:c r="C79" s="6" t="n">
        <x:v>45936</x:v>
      </x:c>
      <x:c r="D79" s="7" t="n">
        <x:v>46728</x:v>
      </x:c>
      <x:c r="E79" s="6" t="n">
        <x:v>45936</x:v>
      </x:c>
      <x:c r="F79" t="n">
        <x:f>TODAY()-E79</x:f>
        <x:v>299</x:v>
      </x:c>
      <x:c r="G79" s="7" t="n">
        <x:f>SUMIF($A$5:$A$563,A79,$D$5:$D$563)</x:f>
        <x:v>78587</x:v>
      </x:c>
    </x:row>
    <x:row r="80">
      <x:c r="A80" t="str">
        <x:v>IntegratedConveyors&amp;PaclineAutomationTechnologies</x:v>
      </x:c>
      <x:c r="B80" t="str">
        <x:v>NA/4769/25-26</x:v>
      </x:c>
      <x:c r="C80" s="6" t="n">
        <x:v>46051</x:v>
      </x:c>
      <x:c r="D80" s="7" t="n">
        <x:v>4720</x:v>
      </x:c>
      <x:c r="E80" s="6" t="n">
        <x:v>46051</x:v>
      </x:c>
      <x:c r="F80" t="n">
        <x:f>TODAY()-E80</x:f>
        <x:v>184</x:v>
      </x:c>
      <x:c r="G80" s="7" t="n">
        <x:f>SUMIF($A$5:$A$563,A80,$D$5:$D$563)</x:f>
        <x:v>78587</x:v>
      </x:c>
    </x:row>
    <x:row r="81">
      <x:c r="A81" t="str">
        <x:v>IntegratedConveyors&amp;PaclineAutomationTechnologies</x:v>
      </x:c>
      <x:c r="B81" t="str">
        <x:v>NA/4942/25-26</x:v>
      </x:c>
      <x:c r="C81" s="6" t="n">
        <x:v>46062</x:v>
      </x:c>
      <x:c r="D81" s="7" t="n">
        <x:v>2950</x:v>
      </x:c>
      <x:c r="E81" s="6" t="n">
        <x:v>46062</x:v>
      </x:c>
      <x:c r="F81" t="n">
        <x:f>TODAY()-E81</x:f>
        <x:v>173</x:v>
      </x:c>
      <x:c r="G81" s="7" t="n">
        <x:f>SUMIF($A$5:$A$563,A81,$D$5:$D$563)</x:f>
        <x:v>78587</x:v>
      </x:c>
    </x:row>
    <x:row r="82">
      <x:c r="A82" t="str">
        <x:v>IntegratedConveyors&amp;PaclineAutomationTechnologies</x:v>
      </x:c>
      <x:c r="B82" t="str">
        <x:v>NA/5565/25-26</x:v>
      </x:c>
      <x:c r="C82" s="6" t="n">
        <x:v>46102</x:v>
      </x:c>
      <x:c r="D82" s="7" t="n">
        <x:v>5900</x:v>
      </x:c>
      <x:c r="E82" s="6" t="n">
        <x:v>46102</x:v>
      </x:c>
      <x:c r="F82" t="n">
        <x:f>TODAY()-E82</x:f>
        <x:v>133</x:v>
      </x:c>
      <x:c r="G82" s="7" t="n">
        <x:f>SUMIF($A$5:$A$563,A82,$D$5:$D$563)</x:f>
        <x:v>78587</x:v>
      </x:c>
    </x:row>
    <x:row r="83">
      <x:c r="A83" t="str">
        <x:v>IntegratedConveyors&amp;PaclineAutomationTechnologies</x:v>
      </x:c>
      <x:c r="B83" t="str">
        <x:v>NA/0859/26-27</x:v>
      </x:c>
      <x:c r="C83" s="6" t="n">
        <x:v>46174</x:v>
      </x:c>
      <x:c r="D83" s="7" t="n">
        <x:v>17699</x:v>
      </x:c>
      <x:c r="E83" s="6" t="n">
        <x:v>46174</x:v>
      </x:c>
      <x:c r="F83" t="n">
        <x:f>TODAY()-E83</x:f>
        <x:v>61</x:v>
      </x:c>
      <x:c r="G83" s="7" t="n">
        <x:f>SUMIF($A$5:$A$563,A83,$D$5:$D$563)</x:f>
        <x:v>78587</x:v>
      </x:c>
    </x:row>
    <x:row r="84">
      <x:c r="A84" t="str">
        <x:v>IntegratedConveyors&amp;PaclineAutomationTechnologies</x:v>
      </x:c>
      <x:c r="B84" t="str">
        <x:v>NA/1192/26-27</x:v>
      </x:c>
      <x:c r="C84" s="6" t="n">
        <x:v>46198</x:v>
      </x:c>
      <x:c r="D84" s="7" t="n">
        <x:v>590</x:v>
      </x:c>
      <x:c r="E84" s="6" t="n">
        <x:v>46198</x:v>
      </x:c>
      <x:c r="F84" t="n">
        <x:f>TODAY()-E84</x:f>
        <x:v>37</x:v>
      </x:c>
      <x:c r="G84" s="7" t="n">
        <x:f>SUMIF($A$5:$A$563,A84,$D$5:$D$563)</x:f>
        <x:v>78587</x:v>
      </x:c>
    </x:row>
    <x:row r="85">
      <x:c r="A85" t="str">
        <x:v>Maimoon Industrial Suppliers</x:v>
      </x:c>
      <x:c r="B85" t="str">
        <x:v>NA/3072/25-26</x:v>
      </x:c>
      <x:c r="C85" s="6" t="n">
        <x:v>45944</x:v>
      </x:c>
      <x:c r="D85" s="7" t="n">
        <x:v>13000</x:v>
      </x:c>
      <x:c r="E85" s="6" t="n">
        <x:v>45944</x:v>
      </x:c>
      <x:c r="F85" t="n">
        <x:f>TODAY()-E85</x:f>
        <x:v>291</x:v>
      </x:c>
      <x:c r="G85" s="7" t="n">
        <x:f>SUMIF($A$5:$A$563,A85,$D$5:$D$563)</x:f>
        <x:v>13000</x:v>
      </x:c>
    </x:row>
    <x:row r="86">
      <x:c r="A86" t="str">
        <x:v>Alutech Foundry India (P) LTD</x:v>
      </x:c>
      <x:c r="B86" t="str">
        <x:v>NA/4218/25-26</x:v>
      </x:c>
      <x:c r="C86" s="6" t="n">
        <x:v>46011</x:v>
      </x:c>
      <x:c r="D86" s="7" t="n">
        <x:v>885</x:v>
      </x:c>
      <x:c r="E86" s="6" t="n">
        <x:v>46011</x:v>
      </x:c>
      <x:c r="F86" t="n">
        <x:f>TODAY()-E86</x:f>
        <x:v>224</x:v>
      </x:c>
      <x:c r="G86" s="7" t="n">
        <x:f>SUMIF($A$5:$A$563,A86,$D$5:$D$563)</x:f>
        <x:v>7965</x:v>
      </x:c>
    </x:row>
    <x:row r="87">
      <x:c r="A87" t="str">
        <x:v>Alutech Foundry India (P) LTD</x:v>
      </x:c>
      <x:c r="B87" t="str">
        <x:v>NA/4478/25-26</x:v>
      </x:c>
      <x:c r="C87" s="6" t="n">
        <x:v>46028</x:v>
      </x:c>
      <x:c r="D87" s="7" t="n">
        <x:v>5310</x:v>
      </x:c>
      <x:c r="E87" s="6" t="n">
        <x:v>46028</x:v>
      </x:c>
      <x:c r="F87" t="n">
        <x:f>TODAY()-E87</x:f>
        <x:v>207</x:v>
      </x:c>
      <x:c r="G87" s="7" t="n">
        <x:f>SUMIF($A$5:$A$563,A87,$D$5:$D$563)</x:f>
        <x:v>7965</x:v>
      </x:c>
    </x:row>
    <x:row r="88">
      <x:c r="A88" t="str">
        <x:v>Alutech Foundry India (P) LTD</x:v>
      </x:c>
      <x:c r="B88" t="str">
        <x:v>NA/0175/26-27</x:v>
      </x:c>
      <x:c r="C88" s="6" t="n">
        <x:v>46123</x:v>
      </x:c>
      <x:c r="D88" s="7" t="n">
        <x:v>1770</x:v>
      </x:c>
      <x:c r="E88" s="6" t="n">
        <x:v>46123</x:v>
      </x:c>
      <x:c r="F88" t="n">
        <x:f>TODAY()-E88</x:f>
        <x:v>112</x:v>
      </x:c>
      <x:c r="G88" s="7" t="n">
        <x:f>SUMIF($A$5:$A$563,A88,$D$5:$D$563)</x:f>
        <x:v>7965</x:v>
      </x:c>
    </x:row>
    <x:row r="89">
      <x:c r="A89" t="str">
        <x:v>Velavan Mill Store</x:v>
      </x:c>
      <x:c r="B89" t="str">
        <x:v>NA/4314/25-26</x:v>
      </x:c>
      <x:c r="C89" s="6" t="n">
        <x:v>46017</x:v>
      </x:c>
      <x:c r="D89" s="7" t="n">
        <x:v>20589</x:v>
      </x:c>
      <x:c r="E89" s="6" t="n">
        <x:v>46017</x:v>
      </x:c>
      <x:c r="F89" t="n">
        <x:f>TODAY()-E89</x:f>
        <x:v>218</x:v>
      </x:c>
      <x:c r="G89" s="7" t="n">
        <x:f>SUMIF($A$5:$A$563,A89,$D$5:$D$563)</x:f>
        <x:v>44439</x:v>
      </x:c>
    </x:row>
    <x:row r="90">
      <x:c r="A90" t="str">
        <x:v>Velavan Mill Store</x:v>
      </x:c>
      <x:c r="B90" t="str">
        <x:v>NA/1006/26-27</x:v>
      </x:c>
      <x:c r="C90" s="6" t="n">
        <x:v>46181</x:v>
      </x:c>
      <x:c r="D90" s="7" t="n">
        <x:v>11111</x:v>
      </x:c>
      <x:c r="E90" s="6" t="n">
        <x:v>46181</x:v>
      </x:c>
      <x:c r="F90" t="n">
        <x:f>TODAY()-E90</x:f>
        <x:v>54</x:v>
      </x:c>
      <x:c r="G90" s="7" t="n">
        <x:f>SUMIF($A$5:$A$563,A90,$D$5:$D$563)</x:f>
        <x:v>44439</x:v>
      </x:c>
    </x:row>
    <x:row r="91">
      <x:c r="A91" t="str">
        <x:v>Velavan Mill Store</x:v>
      </x:c>
      <x:c r="B91" t="str">
        <x:v>NA/1067/26-27</x:v>
      </x:c>
      <x:c r="C91" s="6" t="n">
        <x:v>46183</x:v>
      </x:c>
      <x:c r="D91" s="7" t="n">
        <x:v>4130</x:v>
      </x:c>
      <x:c r="E91" s="6" t="n">
        <x:v>46183</x:v>
      </x:c>
      <x:c r="F91" t="n">
        <x:f>TODAY()-E91</x:f>
        <x:v>52</x:v>
      </x:c>
      <x:c r="G91" s="7" t="n">
        <x:f>SUMIF($A$5:$A$563,A91,$D$5:$D$563)</x:f>
        <x:v>44439</x:v>
      </x:c>
    </x:row>
    <x:row r="92">
      <x:c r="A92" t="str">
        <x:v>Velavan Mill Store</x:v>
      </x:c>
      <x:c r="B92" t="str">
        <x:v>NA/1554/26-27</x:v>
      </x:c>
      <x:c r="C92" s="6" t="n">
        <x:v>46217</x:v>
      </x:c>
      <x:c r="D92" s="7" t="n">
        <x:v>2709</x:v>
      </x:c>
      <x:c r="E92" s="6" t="n">
        <x:v>46217</x:v>
      </x:c>
      <x:c r="F92" t="n">
        <x:f>TODAY()-E92</x:f>
        <x:v>18</x:v>
      </x:c>
      <x:c r="G92" s="7" t="n">
        <x:f>SUMIF($A$5:$A$563,A92,$D$5:$D$563)</x:f>
        <x:v>44439</x:v>
      </x:c>
    </x:row>
    <x:row r="93">
      <x:c r="A93" t="str">
        <x:v>Velavan Mill Store</x:v>
      </x:c>
      <x:c r="B93" t="str">
        <x:v>NA/1753/26-27</x:v>
      </x:c>
      <x:c r="C93" s="6" t="n">
        <x:v>46227</x:v>
      </x:c>
      <x:c r="D93" s="7" t="n">
        <x:v>5900</x:v>
      </x:c>
      <x:c r="E93" s="6" t="n">
        <x:v>46227</x:v>
      </x:c>
      <x:c r="F93" t="n">
        <x:f>TODAY()-E93</x:f>
        <x:v>8</x:v>
      </x:c>
      <x:c r="G93" s="7" t="n">
        <x:f>SUMIF($A$5:$A$563,A93,$D$5:$D$563)</x:f>
        <x:v>44439</x:v>
      </x:c>
    </x:row>
    <x:row r="94">
      <x:c r="A94" t="str">
        <x:v>B M Trade Links</x:v>
      </x:c>
      <x:c r="B94" t="str">
        <x:v>NA/4555/25-26</x:v>
      </x:c>
      <x:c r="C94" s="6" t="n">
        <x:v>46032</x:v>
      </x:c>
      <x:c r="D94" s="7" t="n">
        <x:v>972</x:v>
      </x:c>
      <x:c r="E94" s="6" t="n">
        <x:v>46032</x:v>
      </x:c>
      <x:c r="F94" t="n">
        <x:f>TODAY()-E94</x:f>
        <x:v>203</x:v>
      </x:c>
      <x:c r="G94" s="7" t="n">
        <x:f>SUMIF($A$5:$A$563,A94,$D$5:$D$563)</x:f>
        <x:v>23286</x:v>
      </x:c>
    </x:row>
    <x:row r="95">
      <x:c r="A95" t="str">
        <x:v>B M Trade Links</x:v>
      </x:c>
      <x:c r="B95" t="str">
        <x:v>NA/4810/25-26</x:v>
      </x:c>
      <x:c r="C95" s="6" t="n">
        <x:v>46053</x:v>
      </x:c>
      <x:c r="D95" s="7" t="n">
        <x:v>168</x:v>
      </x:c>
      <x:c r="E95" s="6" t="n">
        <x:v>46053</x:v>
      </x:c>
      <x:c r="F95" t="n">
        <x:f>TODAY()-E95</x:f>
        <x:v>182</x:v>
      </x:c>
      <x:c r="G95" s="7" t="n">
        <x:f>SUMIF($A$5:$A$563,A95,$D$5:$D$563)</x:f>
        <x:v>23286</x:v>
      </x:c>
    </x:row>
    <x:row r="96">
      <x:c r="A96" t="str">
        <x:v>B M Trade Links</x:v>
      </x:c>
      <x:c r="B96" t="str">
        <x:v>NA/4824/25-26</x:v>
      </x:c>
      <x:c r="C96" s="6" t="n">
        <x:v>46055</x:v>
      </x:c>
      <x:c r="D96" s="7" t="n">
        <x:v>588</x:v>
      </x:c>
      <x:c r="E96" s="6" t="n">
        <x:v>46055</x:v>
      </x:c>
      <x:c r="F96" t="n">
        <x:f>TODAY()-E96</x:f>
        <x:v>180</x:v>
      </x:c>
      <x:c r="G96" s="7" t="n">
        <x:f>SUMIF($A$5:$A$563,A96,$D$5:$D$563)</x:f>
        <x:v>23286</x:v>
      </x:c>
    </x:row>
    <x:row r="97">
      <x:c r="A97" t="str">
        <x:v>B M Trade Links</x:v>
      </x:c>
      <x:c r="B97" t="str">
        <x:v>NA/5147/25-26</x:v>
      </x:c>
      <x:c r="C97" s="6" t="n">
        <x:v>46074</x:v>
      </x:c>
      <x:c r="D97" s="7" t="n">
        <x:v>84</x:v>
      </x:c>
      <x:c r="E97" s="6" t="n">
        <x:v>46074</x:v>
      </x:c>
      <x:c r="F97" t="n">
        <x:f>TODAY()-E97</x:f>
        <x:v>161</x:v>
      </x:c>
      <x:c r="G97" s="7" t="n">
        <x:f>SUMIF($A$5:$A$563,A97,$D$5:$D$563)</x:f>
        <x:v>23286</x:v>
      </x:c>
    </x:row>
    <x:row r="98">
      <x:c r="A98" t="str">
        <x:v>B M Trade Links</x:v>
      </x:c>
      <x:c r="B98" t="str">
        <x:v>NA/5361/25-26</x:v>
      </x:c>
      <x:c r="C98" s="6" t="n">
        <x:v>46088</x:v>
      </x:c>
      <x:c r="D98" s="7" t="n">
        <x:v>1407</x:v>
      </x:c>
      <x:c r="E98" s="6" t="n">
        <x:v>46088</x:v>
      </x:c>
      <x:c r="F98" t="n">
        <x:f>TODAY()-E98</x:f>
        <x:v>147</x:v>
      </x:c>
      <x:c r="G98" s="7" t="n">
        <x:f>SUMIF($A$5:$A$563,A98,$D$5:$D$563)</x:f>
        <x:v>23286</x:v>
      </x:c>
    </x:row>
    <x:row r="99">
      <x:c r="A99" t="str">
        <x:v>B M Trade Links</x:v>
      </x:c>
      <x:c r="B99" t="str">
        <x:v>NA/5581/25-26</x:v>
      </x:c>
      <x:c r="C99" s="6" t="n">
        <x:v>46102</x:v>
      </x:c>
      <x:c r="D99" s="7" t="n">
        <x:v>840</x:v>
      </x:c>
      <x:c r="E99" s="6" t="n">
        <x:v>46102</x:v>
      </x:c>
      <x:c r="F99" t="n">
        <x:f>TODAY()-E99</x:f>
        <x:v>133</x:v>
      </x:c>
      <x:c r="G99" s="7" t="n">
        <x:f>SUMIF($A$5:$A$563,A99,$D$5:$D$563)</x:f>
        <x:v>23286</x:v>
      </x:c>
    </x:row>
    <x:row r="100">
      <x:c r="A100" t="str">
        <x:v>B M Trade Links</x:v>
      </x:c>
      <x:c r="B100" t="str">
        <x:v>NA/5702/25-26</x:v>
      </x:c>
      <x:c r="C100" s="6" t="n">
        <x:v>46109</x:v>
      </x:c>
      <x:c r="D100" s="7" t="n">
        <x:v>3574</x:v>
      </x:c>
      <x:c r="E100" s="6" t="n">
        <x:v>46109</x:v>
      </x:c>
      <x:c r="F100" t="n">
        <x:f>TODAY()-E100</x:f>
        <x:v>126</x:v>
      </x:c>
      <x:c r="G100" s="7" t="n">
        <x:f>SUMIF($A$5:$A$563,A100,$D$5:$D$563)</x:f>
        <x:v>23286</x:v>
      </x:c>
    </x:row>
    <x:row r="101">
      <x:c r="A101" t="str">
        <x:v>B M Trade Links</x:v>
      </x:c>
      <x:c r="B101" t="str">
        <x:v>NA/0325/26-27</x:v>
      </x:c>
      <x:c r="C101" s="6" t="n">
        <x:v>46137</x:v>
      </x:c>
      <x:c r="D101" s="7" t="n">
        <x:v>1726</x:v>
      </x:c>
      <x:c r="E101" s="6" t="n">
        <x:v>46137</x:v>
      </x:c>
      <x:c r="F101" t="n">
        <x:f>TODAY()-E101</x:f>
        <x:v>98</x:v>
      </x:c>
      <x:c r="G101" s="7" t="n">
        <x:f>SUMIF($A$5:$A$563,A101,$D$5:$D$563)</x:f>
        <x:v>23286</x:v>
      </x:c>
    </x:row>
    <x:row r="102">
      <x:c r="A102" t="str">
        <x:v>B M Trade Links</x:v>
      </x:c>
      <x:c r="B102" t="str">
        <x:v>NA/0771/26-27</x:v>
      </x:c>
      <x:c r="C102" s="6" t="n">
        <x:v>46168</x:v>
      </x:c>
      <x:c r="D102" s="7" t="n">
        <x:v>4847</x:v>
      </x:c>
      <x:c r="E102" s="6" t="n">
        <x:v>46168</x:v>
      </x:c>
      <x:c r="F102" t="n">
        <x:f>TODAY()-E102</x:f>
        <x:v>67</x:v>
      </x:c>
      <x:c r="G102" s="7" t="n">
        <x:f>SUMIF($A$5:$A$563,A102,$D$5:$D$563)</x:f>
        <x:v>23286</x:v>
      </x:c>
    </x:row>
    <x:row r="103">
      <x:c r="A103" t="str">
        <x:v>B M Trade Links</x:v>
      </x:c>
      <x:c r="B103" t="str">
        <x:v>NA/1222/26-27</x:v>
      </x:c>
      <x:c r="C103" s="6" t="n">
        <x:v>46199</x:v>
      </x:c>
      <x:c r="D103" s="7" t="n">
        <x:v>4511</x:v>
      </x:c>
      <x:c r="E103" s="6" t="n">
        <x:v>46199</x:v>
      </x:c>
      <x:c r="F103" t="n">
        <x:f>TODAY()-E103</x:f>
        <x:v>36</x:v>
      </x:c>
      <x:c r="G103" s="7" t="n">
        <x:f>SUMIF($A$5:$A$563,A103,$D$5:$D$563)</x:f>
        <x:v>23286</x:v>
      </x:c>
    </x:row>
    <x:row r="104">
      <x:c r="A104" t="str">
        <x:v>B M Trade Links</x:v>
      </x:c>
      <x:c r="B104" t="str">
        <x:v>NA/1246/26-27</x:v>
      </x:c>
      <x:c r="C104" s="6" t="n">
        <x:v>46200</x:v>
      </x:c>
      <x:c r="D104" s="7" t="n">
        <x:v>883</x:v>
      </x:c>
      <x:c r="E104" s="6" t="n">
        <x:v>46200</x:v>
      </x:c>
      <x:c r="F104" t="n">
        <x:f>TODAY()-E104</x:f>
        <x:v>35</x:v>
      </x:c>
      <x:c r="G104" s="7" t="n">
        <x:f>SUMIF($A$5:$A$563,A104,$D$5:$D$563)</x:f>
        <x:v>23286</x:v>
      </x:c>
    </x:row>
    <x:row r="105">
      <x:c r="A105" t="str">
        <x:v>B M Trade Links</x:v>
      </x:c>
      <x:c r="B105" t="str">
        <x:v>NA/1468/26-27</x:v>
      </x:c>
      <x:c r="C105" s="6" t="n">
        <x:v>46213</x:v>
      </x:c>
      <x:c r="D105" s="7" t="n">
        <x:v>3300</x:v>
      </x:c>
      <x:c r="E105" s="6" t="n">
        <x:v>46213</x:v>
      </x:c>
      <x:c r="F105" t="n">
        <x:f>TODAY()-E105</x:f>
        <x:v>22</x:v>
      </x:c>
      <x:c r="G105" s="7" t="n">
        <x:f>SUMIF($A$5:$A$563,A105,$D$5:$D$563)</x:f>
        <x:v>23286</x:v>
      </x:c>
    </x:row>
    <x:row r="106">
      <x:c r="A106" t="str">
        <x:v>B M Trade Links</x:v>
      </x:c>
      <x:c r="B106" t="str">
        <x:v>NA/1819/26-27</x:v>
      </x:c>
      <x:c r="C106" s="6" t="n">
        <x:v>46231</x:v>
      </x:c>
      <x:c r="D106" s="7" t="n">
        <x:v>386</x:v>
      </x:c>
      <x:c r="E106" s="6" t="n">
        <x:v>46231</x:v>
      </x:c>
      <x:c r="F106" t="n">
        <x:f>TODAY()-E106</x:f>
        <x:v>4</x:v>
      </x:c>
      <x:c r="G106" s="7" t="n">
        <x:f>SUMIF($A$5:$A$563,A106,$D$5:$D$563)</x:f>
        <x:v>23286</x:v>
      </x:c>
    </x:row>
    <x:row r="107">
      <x:c r="A107" t="str">
        <x:v>Aqiq Enterprises</x:v>
      </x:c>
      <x:c r="B107" t="str">
        <x:v>NA/4570/25-26</x:v>
      </x:c>
      <x:c r="C107" s="6" t="n">
        <x:v>46034</x:v>
      </x:c>
      <x:c r="D107" s="7" t="n">
        <x:v>2765</x:v>
      </x:c>
      <x:c r="E107" s="6" t="n">
        <x:v>46034</x:v>
      </x:c>
      <x:c r="F107" t="n">
        <x:f>TODAY()-E107</x:f>
        <x:v>201</x:v>
      </x:c>
      <x:c r="G107" s="7" t="n">
        <x:f>SUMIF($A$5:$A$563,A107,$D$5:$D$563)</x:f>
        <x:v>10155</x:v>
      </x:c>
    </x:row>
    <x:row r="108">
      <x:c r="A108" t="str">
        <x:v>Aqiq Enterprises</x:v>
      </x:c>
      <x:c r="B108" t="str">
        <x:v>NA/5030/25-26</x:v>
      </x:c>
      <x:c r="C108" s="6" t="n">
        <x:v>46067</x:v>
      </x:c>
      <x:c r="D108" s="7" t="n">
        <x:v>1766</x:v>
      </x:c>
      <x:c r="E108" s="6" t="n">
        <x:v>46067</x:v>
      </x:c>
      <x:c r="F108" t="n">
        <x:f>TODAY()-E108</x:f>
        <x:v>168</x:v>
      </x:c>
      <x:c r="G108" s="7" t="n">
        <x:f>SUMIF($A$5:$A$563,A108,$D$5:$D$563)</x:f>
        <x:v>10155</x:v>
      </x:c>
    </x:row>
    <x:row r="109">
      <x:c r="A109" t="str">
        <x:v>Aqiq Enterprises</x:v>
      </x:c>
      <x:c r="B109" t="str">
        <x:v>NA/0179/26-27</x:v>
      </x:c>
      <x:c r="C109" s="6" t="n">
        <x:v>46123</x:v>
      </x:c>
      <x:c r="D109" s="7" t="n">
        <x:v>2491</x:v>
      </x:c>
      <x:c r="E109" s="6" t="n">
        <x:v>46123</x:v>
      </x:c>
      <x:c r="F109" t="n">
        <x:f>TODAY()-E109</x:f>
        <x:v>112</x:v>
      </x:c>
      <x:c r="G109" s="7" t="n">
        <x:f>SUMIF($A$5:$A$563,A109,$D$5:$D$563)</x:f>
        <x:v>10155</x:v>
      </x:c>
    </x:row>
    <x:row r="110">
      <x:c r="A110" t="str">
        <x:v>Aqiq Enterprises</x:v>
      </x:c>
      <x:c r="B110" t="str">
        <x:v>NA/0201/26-27</x:v>
      </x:c>
      <x:c r="C110" s="6" t="n">
        <x:v>46127</x:v>
      </x:c>
      <x:c r="D110" s="7" t="n">
        <x:v>1258</x:v>
      </x:c>
      <x:c r="E110" s="6" t="n">
        <x:v>46127</x:v>
      </x:c>
      <x:c r="F110" t="n">
        <x:f>TODAY()-E110</x:f>
        <x:v>108</x:v>
      </x:c>
      <x:c r="G110" s="7" t="n">
        <x:f>SUMIF($A$5:$A$563,A110,$D$5:$D$563)</x:f>
        <x:v>10155</x:v>
      </x:c>
    </x:row>
    <x:row r="111">
      <x:c r="A111" t="str">
        <x:v>Aqiq Enterprises</x:v>
      </x:c>
      <x:c r="B111" t="str">
        <x:v>NA/0418/26-27</x:v>
      </x:c>
      <x:c r="C111" s="6" t="n">
        <x:v>46144</x:v>
      </x:c>
      <x:c r="D111" s="7" t="n">
        <x:v>730</x:v>
      </x:c>
      <x:c r="E111" s="6" t="n">
        <x:v>46144</x:v>
      </x:c>
      <x:c r="F111" t="n">
        <x:f>TODAY()-E111</x:f>
        <x:v>91</x:v>
      </x:c>
      <x:c r="G111" s="7" t="n">
        <x:f>SUMIF($A$5:$A$563,A111,$D$5:$D$563)</x:f>
        <x:v>10155</x:v>
      </x:c>
    </x:row>
    <x:row r="112">
      <x:c r="A112" t="str">
        <x:v>Aqiq Enterprises</x:v>
      </x:c>
      <x:c r="B112" t="str">
        <x:v>NA/0554/26-27</x:v>
      </x:c>
      <x:c r="C112" s="6" t="n">
        <x:v>46156</x:v>
      </x:c>
      <x:c r="D112" s="7" t="n">
        <x:v>365</x:v>
      </x:c>
      <x:c r="E112" s="6" t="n">
        <x:v>46156</x:v>
      </x:c>
      <x:c r="F112" t="n">
        <x:f>TODAY()-E112</x:f>
        <x:v>79</x:v>
      </x:c>
      <x:c r="G112" s="7" t="n">
        <x:f>SUMIF($A$5:$A$563,A112,$D$5:$D$563)</x:f>
        <x:v>10155</x:v>
      </x:c>
    </x:row>
    <x:row r="113">
      <x:c r="A113" t="str">
        <x:v>Aqiq Enterprises</x:v>
      </x:c>
      <x:c r="B113" t="str">
        <x:v>NA/1663/26-27</x:v>
      </x:c>
      <x:c r="C113" s="6" t="n">
        <x:v>46223</x:v>
      </x:c>
      <x:c r="D113" s="7" t="n">
        <x:v>780</x:v>
      </x:c>
      <x:c r="E113" s="6" t="n">
        <x:v>46223</x:v>
      </x:c>
      <x:c r="F113" t="n">
        <x:f>TODAY()-E113</x:f>
        <x:v>12</x:v>
      </x:c>
      <x:c r="G113" s="7" t="n">
        <x:f>SUMIF($A$5:$A$563,A113,$D$5:$D$563)</x:f>
        <x:v>10155</x:v>
      </x:c>
    </x:row>
    <x:row r="114">
      <x:c r="A114" t="str">
        <x:v>Burhani Traders</x:v>
      </x:c>
      <x:c r="B114" t="str">
        <x:v>NA/4724/25-26</x:v>
      </x:c>
      <x:c r="C114" s="6" t="n">
        <x:v>46046</x:v>
      </x:c>
      <x:c r="D114" s="7" t="n">
        <x:v>11924</x:v>
      </x:c>
      <x:c r="E114" s="6" t="n">
        <x:v>46046</x:v>
      </x:c>
      <x:c r="F114" t="n">
        <x:f>TODAY()-E114</x:f>
        <x:v>189</x:v>
      </x:c>
      <x:c r="G114" s="7" t="n">
        <x:f>SUMIF($A$5:$A$563,A114,$D$5:$D$563)</x:f>
        <x:v>238111</x:v>
      </x:c>
    </x:row>
    <x:row r="115">
      <x:c r="A115" t="str">
        <x:v>Burhani Traders</x:v>
      </x:c>
      <x:c r="B115" t="str">
        <x:v>NA/4785/25-26</x:v>
      </x:c>
      <x:c r="C115" s="6" t="n">
        <x:v>46052</x:v>
      </x:c>
      <x:c r="D115" s="7" t="n">
        <x:v>12000</x:v>
      </x:c>
      <x:c r="E115" s="6" t="n">
        <x:v>46052</x:v>
      </x:c>
      <x:c r="F115" t="n">
        <x:f>TODAY()-E115</x:f>
        <x:v>183</x:v>
      </x:c>
      <x:c r="G115" s="7" t="n">
        <x:f>SUMIF($A$5:$A$563,A115,$D$5:$D$563)</x:f>
        <x:v>238111</x:v>
      </x:c>
    </x:row>
    <x:row r="116">
      <x:c r="A116" t="str">
        <x:v>Burhani Traders</x:v>
      </x:c>
      <x:c r="B116" t="str">
        <x:v>NA/5046/25-26</x:v>
      </x:c>
      <x:c r="C116" s="6" t="n">
        <x:v>46067</x:v>
      </x:c>
      <x:c r="D116" s="7" t="n">
        <x:v>8000</x:v>
      </x:c>
      <x:c r="E116" s="6" t="n">
        <x:v>46067</x:v>
      </x:c>
      <x:c r="F116" t="n">
        <x:f>TODAY()-E116</x:f>
        <x:v>168</x:v>
      </x:c>
      <x:c r="G116" s="7" t="n">
        <x:f>SUMIF($A$5:$A$563,A116,$D$5:$D$563)</x:f>
        <x:v>238111</x:v>
      </x:c>
    </x:row>
    <x:row r="117">
      <x:c r="A117" t="str">
        <x:v>Burhani Traders</x:v>
      </x:c>
      <x:c r="B117" t="str">
        <x:v>NA/5262/25-26</x:v>
      </x:c>
      <x:c r="C117" s="6" t="n">
        <x:v>46081</x:v>
      </x:c>
      <x:c r="D117" s="7" t="n">
        <x:v>2360</x:v>
      </x:c>
      <x:c r="E117" s="6" t="n">
        <x:v>46081</x:v>
      </x:c>
      <x:c r="F117" t="n">
        <x:f>TODAY()-E117</x:f>
        <x:v>154</x:v>
      </x:c>
      <x:c r="G117" s="7" t="n">
        <x:f>SUMIF($A$5:$A$563,A117,$D$5:$D$563)</x:f>
        <x:v>238111</x:v>
      </x:c>
    </x:row>
    <x:row r="118">
      <x:c r="A118" t="str">
        <x:v>Burhani Traders</x:v>
      </x:c>
      <x:c r="B118" t="str">
        <x:v>NA/5310/25-26</x:v>
      </x:c>
      <x:c r="C118" s="6" t="n">
        <x:v>46085</x:v>
      </x:c>
      <x:c r="D118" s="7" t="n">
        <x:v>17037</x:v>
      </x:c>
      <x:c r="E118" s="6" t="n">
        <x:v>46085</x:v>
      </x:c>
      <x:c r="F118" t="n">
        <x:f>TODAY()-E118</x:f>
        <x:v>150</x:v>
      </x:c>
      <x:c r="G118" s="7" t="n">
        <x:f>SUMIF($A$5:$A$563,A118,$D$5:$D$563)</x:f>
        <x:v>238111</x:v>
      </x:c>
    </x:row>
    <x:row r="119">
      <x:c r="A119" t="str">
        <x:v>Burhani Traders</x:v>
      </x:c>
      <x:c r="B119" t="str">
        <x:v>NA/5313/25-26</x:v>
      </x:c>
      <x:c r="C119" s="6" t="n">
        <x:v>46086</x:v>
      </x:c>
      <x:c r="D119" s="7" t="n">
        <x:v>2107</x:v>
      </x:c>
      <x:c r="E119" s="6" t="n">
        <x:v>46086</x:v>
      </x:c>
      <x:c r="F119" t="n">
        <x:f>TODAY()-E119</x:f>
        <x:v>149</x:v>
      </x:c>
      <x:c r="G119" s="7" t="n">
        <x:f>SUMIF($A$5:$A$563,A119,$D$5:$D$563)</x:f>
        <x:v>238111</x:v>
      </x:c>
    </x:row>
    <x:row r="120">
      <x:c r="A120" t="str">
        <x:v>Burhani Traders</x:v>
      </x:c>
      <x:c r="B120" t="str">
        <x:v>NA/5474/25-26</x:v>
      </x:c>
      <x:c r="C120" s="6" t="n">
        <x:v>46095</x:v>
      </x:c>
      <x:c r="D120" s="7" t="n">
        <x:v>2385</x:v>
      </x:c>
      <x:c r="E120" s="6" t="n">
        <x:v>46095</x:v>
      </x:c>
      <x:c r="F120" t="n">
        <x:f>TODAY()-E120</x:f>
        <x:v>140</x:v>
      </x:c>
      <x:c r="G120" s="7" t="n">
        <x:f>SUMIF($A$5:$A$563,A120,$D$5:$D$563)</x:f>
        <x:v>238111</x:v>
      </x:c>
    </x:row>
    <x:row r="121">
      <x:c r="A121" t="str">
        <x:v>Burhani Traders</x:v>
      </x:c>
      <x:c r="B121" t="str">
        <x:v>NA/5585/25-26</x:v>
      </x:c>
      <x:c r="C121" s="6" t="n">
        <x:v>46102</x:v>
      </x:c>
      <x:c r="D121" s="7" t="n">
        <x:v>10000</x:v>
      </x:c>
      <x:c r="E121" s="6" t="n">
        <x:v>46102</x:v>
      </x:c>
      <x:c r="F121" t="n">
        <x:f>TODAY()-E121</x:f>
        <x:v>133</x:v>
      </x:c>
      <x:c r="G121" s="7" t="n">
        <x:f>SUMIF($A$5:$A$563,A121,$D$5:$D$563)</x:f>
        <x:v>238111</x:v>
      </x:c>
    </x:row>
    <x:row r="122">
      <x:c r="A122" t="str">
        <x:v>Burhani Traders</x:v>
      </x:c>
      <x:c r="B122" t="str">
        <x:v>NA/0061/26-27</x:v>
      </x:c>
      <x:c r="C122" s="6" t="n">
        <x:v>46116</x:v>
      </x:c>
      <x:c r="D122" s="7" t="n">
        <x:v>2640</x:v>
      </x:c>
      <x:c r="E122" s="6" t="n">
        <x:v>46116</x:v>
      </x:c>
      <x:c r="F122" t="n">
        <x:f>TODAY()-E122</x:f>
        <x:v>119</x:v>
      </x:c>
      <x:c r="G122" s="7" t="n">
        <x:f>SUMIF($A$5:$A$563,A122,$D$5:$D$563)</x:f>
        <x:v>238111</x:v>
      </x:c>
    </x:row>
    <x:row r="123">
      <x:c r="A123" t="str">
        <x:v>Burhani Traders</x:v>
      </x:c>
      <x:c r="B123" t="str">
        <x:v>NA/0084/26-27</x:v>
      </x:c>
      <x:c r="C123" s="6" t="n">
        <x:v>46118</x:v>
      </x:c>
      <x:c r="D123" s="7" t="n">
        <x:v>4400</x:v>
      </x:c>
      <x:c r="E123" s="6" t="n">
        <x:v>46118</x:v>
      </x:c>
      <x:c r="F123" t="n">
        <x:f>TODAY()-E123</x:f>
        <x:v>117</x:v>
      </x:c>
      <x:c r="G123" s="7" t="n">
        <x:f>SUMIF($A$5:$A$563,A123,$D$5:$D$563)</x:f>
        <x:v>238111</x:v>
      </x:c>
    </x:row>
    <x:row r="124">
      <x:c r="A124" t="str">
        <x:v>Burhani Traders</x:v>
      </x:c>
      <x:c r="B124" t="str">
        <x:v>NA/0168/26-27</x:v>
      </x:c>
      <x:c r="C124" s="6" t="n">
        <x:v>46123</x:v>
      </x:c>
      <x:c r="D124" s="7" t="n">
        <x:v>10900</x:v>
      </x:c>
      <x:c r="E124" s="6" t="n">
        <x:v>46123</x:v>
      </x:c>
      <x:c r="F124" t="n">
        <x:f>TODAY()-E124</x:f>
        <x:v>112</x:v>
      </x:c>
      <x:c r="G124" s="7" t="n">
        <x:f>SUMIF($A$5:$A$563,A124,$D$5:$D$563)</x:f>
        <x:v>238111</x:v>
      </x:c>
    </x:row>
    <x:row r="125">
      <x:c r="A125" t="str">
        <x:v>Burhani Traders</x:v>
      </x:c>
      <x:c r="B125" t="str">
        <x:v>NA/0328/26-27</x:v>
      </x:c>
      <x:c r="C125" s="6" t="n">
        <x:v>46137</x:v>
      </x:c>
      <x:c r="D125" s="7" t="n">
        <x:v>7949</x:v>
      </x:c>
      <x:c r="E125" s="6" t="n">
        <x:v>46137</x:v>
      </x:c>
      <x:c r="F125" t="n">
        <x:f>TODAY()-E125</x:f>
        <x:v>98</x:v>
      </x:c>
      <x:c r="G125" s="7" t="n">
        <x:f>SUMIF($A$5:$A$563,A125,$D$5:$D$563)</x:f>
        <x:v>238111</x:v>
      </x:c>
    </x:row>
    <x:row r="126">
      <x:c r="A126" t="str">
        <x:v>Burhani Traders</x:v>
      </x:c>
      <x:c r="B126" t="str">
        <x:v>NA/0339/26-27</x:v>
      </x:c>
      <x:c r="C126" s="6" t="n">
        <x:v>46137</x:v>
      </x:c>
      <x:c r="D126" s="7" t="n">
        <x:v>30000</x:v>
      </x:c>
      <x:c r="E126" s="6" t="n">
        <x:v>46137</x:v>
      </x:c>
      <x:c r="F126" t="n">
        <x:f>TODAY()-E126</x:f>
        <x:v>98</x:v>
      </x:c>
      <x:c r="G126" s="7" t="n">
        <x:f>SUMIF($A$5:$A$563,A126,$D$5:$D$563)</x:f>
        <x:v>238111</x:v>
      </x:c>
    </x:row>
    <x:row r="127">
      <x:c r="A127" t="str">
        <x:v>Burhani Traders</x:v>
      </x:c>
      <x:c r="B127" t="str">
        <x:v>NA/0402/26-27</x:v>
      </x:c>
      <x:c r="C127" s="6" t="n">
        <x:v>46144</x:v>
      </x:c>
      <x:c r="D127" s="7" t="n">
        <x:v>16750</x:v>
      </x:c>
      <x:c r="E127" s="6" t="n">
        <x:v>46144</x:v>
      </x:c>
      <x:c r="F127" t="n">
        <x:f>TODAY()-E127</x:f>
        <x:v>91</x:v>
      </x:c>
      <x:c r="G127" s="7" t="n">
        <x:f>SUMIF($A$5:$A$563,A127,$D$5:$D$563)</x:f>
        <x:v>238111</x:v>
      </x:c>
    </x:row>
    <x:row r="128">
      <x:c r="A128" t="str">
        <x:v>Burhani Traders</x:v>
      </x:c>
      <x:c r="B128" t="str">
        <x:v>NA/0499/26-27</x:v>
      </x:c>
      <x:c r="C128" s="6" t="n">
        <x:v>46151</x:v>
      </x:c>
      <x:c r="D128" s="7" t="n">
        <x:v>27598</x:v>
      </x:c>
      <x:c r="E128" s="6" t="n">
        <x:v>46151</x:v>
      </x:c>
      <x:c r="F128" t="n">
        <x:f>TODAY()-E128</x:f>
        <x:v>84</x:v>
      </x:c>
      <x:c r="G128" s="7" t="n">
        <x:f>SUMIF($A$5:$A$563,A128,$D$5:$D$563)</x:f>
        <x:v>238111</x:v>
      </x:c>
    </x:row>
    <x:row r="129">
      <x:c r="A129" t="str">
        <x:v>Burhani Traders</x:v>
      </x:c>
      <x:c r="B129" t="str">
        <x:v>NA/0570/26-27</x:v>
      </x:c>
      <x:c r="C129" s="6" t="n">
        <x:v>46156</x:v>
      </x:c>
      <x:c r="D129" s="7" t="n">
        <x:v>14599</x:v>
      </x:c>
      <x:c r="E129" s="6" t="n">
        <x:v>46156</x:v>
      </x:c>
      <x:c r="F129" t="n">
        <x:f>TODAY()-E129</x:f>
        <x:v>79</x:v>
      </x:c>
      <x:c r="G129" s="7" t="n">
        <x:f>SUMIF($A$5:$A$563,A129,$D$5:$D$563)</x:f>
        <x:v>238111</x:v>
      </x:c>
    </x:row>
    <x:row r="130">
      <x:c r="A130" t="str">
        <x:v>Burhani Traders</x:v>
      </x:c>
      <x:c r="B130" t="str">
        <x:v>NA/0585/26-27</x:v>
      </x:c>
      <x:c r="C130" s="6" t="n">
        <x:v>46157</x:v>
      </x:c>
      <x:c r="D130" s="7" t="n">
        <x:v>10000</x:v>
      </x:c>
      <x:c r="E130" s="6" t="n">
        <x:v>46157</x:v>
      </x:c>
      <x:c r="F130" t="n">
        <x:f>TODAY()-E130</x:f>
        <x:v>78</x:v>
      </x:c>
      <x:c r="G130" s="7" t="n">
        <x:f>SUMIF($A$5:$A$563,A130,$D$5:$D$563)</x:f>
        <x:v>238111</x:v>
      </x:c>
    </x:row>
    <x:row r="131">
      <x:c r="A131" t="str">
        <x:v>Burhani Traders</x:v>
      </x:c>
      <x:c r="B131" t="str">
        <x:v>NA/0630/26-27</x:v>
      </x:c>
      <x:c r="C131" s="6" t="n">
        <x:v>46160</x:v>
      </x:c>
      <x:c r="D131" s="7" t="n">
        <x:v>8400</x:v>
      </x:c>
      <x:c r="E131" s="6" t="n">
        <x:v>46160</x:v>
      </x:c>
      <x:c r="F131" t="n">
        <x:f>TODAY()-E131</x:f>
        <x:v>75</x:v>
      </x:c>
      <x:c r="G131" s="7" t="n">
        <x:f>SUMIF($A$5:$A$563,A131,$D$5:$D$563)</x:f>
        <x:v>238111</x:v>
      </x:c>
    </x:row>
    <x:row r="132">
      <x:c r="A132" t="str">
        <x:v>Burhani Traders</x:v>
      </x:c>
      <x:c r="B132" t="str">
        <x:v>NA/0724/26-27</x:v>
      </x:c>
      <x:c r="C132" s="6" t="n">
        <x:v>46165</x:v>
      </x:c>
      <x:c r="D132" s="7" t="n">
        <x:v>1550</x:v>
      </x:c>
      <x:c r="E132" s="6" t="n">
        <x:v>46165</x:v>
      </x:c>
      <x:c r="F132" t="n">
        <x:f>TODAY()-E132</x:f>
        <x:v>70</x:v>
      </x:c>
      <x:c r="G132" s="7" t="n">
        <x:f>SUMIF($A$5:$A$563,A132,$D$5:$D$563)</x:f>
        <x:v>238111</x:v>
      </x:c>
    </x:row>
    <x:row r="133">
      <x:c r="A133" t="str">
        <x:v>Burhani Traders</x:v>
      </x:c>
      <x:c r="B133" t="str">
        <x:v>NA/0838/26-27</x:v>
      </x:c>
      <x:c r="C133" s="6" t="n">
        <x:v>46172</x:v>
      </x:c>
      <x:c r="D133" s="7" t="n">
        <x:v>2107</x:v>
      </x:c>
      <x:c r="E133" s="6" t="n">
        <x:v>46172</x:v>
      </x:c>
      <x:c r="F133" t="n">
        <x:f>TODAY()-E133</x:f>
        <x:v>63</x:v>
      </x:c>
      <x:c r="G133" s="7" t="n">
        <x:f>SUMIF($A$5:$A$563,A133,$D$5:$D$563)</x:f>
        <x:v>238111</x:v>
      </x:c>
    </x:row>
    <x:row r="134">
      <x:c r="A134" t="str">
        <x:v>Burhani Traders</x:v>
      </x:c>
      <x:c r="B134" t="str">
        <x:v>NA/1116/26-27</x:v>
      </x:c>
      <x:c r="C134" s="6" t="n">
        <x:v>46186</x:v>
      </x:c>
      <x:c r="D134" s="7" t="n">
        <x:v>13800</x:v>
      </x:c>
      <x:c r="E134" s="6" t="n">
        <x:v>46186</x:v>
      </x:c>
      <x:c r="F134" t="n">
        <x:f>TODAY()-E134</x:f>
        <x:v>49</x:v>
      </x:c>
      <x:c r="G134" s="7" t="n">
        <x:f>SUMIF($A$5:$A$563,A134,$D$5:$D$563)</x:f>
        <x:v>238111</x:v>
      </x:c>
    </x:row>
    <x:row r="135">
      <x:c r="A135" t="str">
        <x:v>Burhani Traders</x:v>
      </x:c>
      <x:c r="B135" t="str">
        <x:v>NA/1247/26-27</x:v>
      </x:c>
      <x:c r="C135" s="6" t="n">
        <x:v>46200</x:v>
      </x:c>
      <x:c r="D135" s="7" t="n">
        <x:v>1133</x:v>
      </x:c>
      <x:c r="E135" s="6" t="n">
        <x:v>46200</x:v>
      </x:c>
      <x:c r="F135" t="n">
        <x:f>TODAY()-E135</x:f>
        <x:v>35</x:v>
      </x:c>
      <x:c r="G135" s="7" t="n">
        <x:f>SUMIF($A$5:$A$563,A135,$D$5:$D$563)</x:f>
        <x:v>238111</x:v>
      </x:c>
    </x:row>
    <x:row r="136">
      <x:c r="A136" t="str">
        <x:v>Burhani Traders</x:v>
      </x:c>
      <x:c r="B136" t="str">
        <x:v>NA/1358/26-27</x:v>
      </x:c>
      <x:c r="C136" s="6" t="n">
        <x:v>46207</x:v>
      </x:c>
      <x:c r="D136" s="7" t="n">
        <x:v>1590</x:v>
      </x:c>
      <x:c r="E136" s="6" t="n">
        <x:v>46207</x:v>
      </x:c>
      <x:c r="F136" t="n">
        <x:f>TODAY()-E136</x:f>
        <x:v>28</x:v>
      </x:c>
      <x:c r="G136" s="7" t="n">
        <x:f>SUMIF($A$5:$A$563,A136,$D$5:$D$563)</x:f>
        <x:v>238111</x:v>
      </x:c>
    </x:row>
    <x:row r="137">
      <x:c r="A137" t="str">
        <x:v>Burhani Traders</x:v>
      </x:c>
      <x:c r="B137" t="str">
        <x:v>NA/1517/26-27</x:v>
      </x:c>
      <x:c r="C137" s="6" t="n">
        <x:v>46216</x:v>
      </x:c>
      <x:c r="D137" s="7" t="n">
        <x:v>8400</x:v>
      </x:c>
      <x:c r="E137" s="6" t="n">
        <x:v>46216</x:v>
      </x:c>
      <x:c r="F137" t="n">
        <x:f>TODAY()-E137</x:f>
        <x:v>19</x:v>
      </x:c>
      <x:c r="G137" s="7" t="n">
        <x:f>SUMIF($A$5:$A$563,A137,$D$5:$D$563)</x:f>
        <x:v>238111</x:v>
      </x:c>
    </x:row>
    <x:row r="138">
      <x:c r="A138" t="str">
        <x:v>Burhani Traders</x:v>
      </x:c>
      <x:c r="B138" t="str">
        <x:v>NA/1635/26-27</x:v>
      </x:c>
      <x:c r="C138" s="6" t="n">
        <x:v>46221</x:v>
      </x:c>
      <x:c r="D138" s="7" t="n">
        <x:v>1804</x:v>
      </x:c>
      <x:c r="E138" s="6" t="n">
        <x:v>46221</x:v>
      </x:c>
      <x:c r="F138" t="n">
        <x:f>TODAY()-E138</x:f>
        <x:v>14</x:v>
      </x:c>
      <x:c r="G138" s="7" t="n">
        <x:f>SUMIF($A$5:$A$563,A138,$D$5:$D$563)</x:f>
        <x:v>238111</x:v>
      </x:c>
    </x:row>
    <x:row r="139">
      <x:c r="A139" t="str">
        <x:v>Burhani Traders</x:v>
      </x:c>
      <x:c r="B139" t="str">
        <x:v>NA/1773/26-27</x:v>
      </x:c>
      <x:c r="C139" s="6" t="n">
        <x:v>46228</x:v>
      </x:c>
      <x:c r="D139" s="7" t="n">
        <x:v>5145</x:v>
      </x:c>
      <x:c r="E139" s="6" t="n">
        <x:v>46228</x:v>
      </x:c>
      <x:c r="F139" t="n">
        <x:f>TODAY()-E139</x:f>
        <x:v>7</x:v>
      </x:c>
      <x:c r="G139" s="7" t="n">
        <x:f>SUMIF($A$5:$A$563,A139,$D$5:$D$563)</x:f>
        <x:v>238111</x:v>
      </x:c>
    </x:row>
    <x:row r="140">
      <x:c r="A140" t="str">
        <x:v>Burhani Traders</x:v>
      </x:c>
      <x:c r="B140" t="str">
        <x:v>NA/1889/26-27</x:v>
      </x:c>
      <x:c r="C140" s="6" t="n">
        <x:v>46235</x:v>
      </x:c>
      <x:c r="D140" s="7" t="n">
        <x:v>3533</x:v>
      </x:c>
      <x:c r="E140" s="6" t="n">
        <x:v>46235</x:v>
      </x:c>
      <x:c r="F140" t="n">
        <x:f>TODAY()-E140</x:f>
        <x:v>0</x:v>
      </x:c>
      <x:c r="G140" s="7" t="n">
        <x:f>SUMIF($A$5:$A$563,A140,$D$5:$D$563)</x:f>
        <x:v>238111</x:v>
      </x:c>
    </x:row>
    <x:row r="141">
      <x:c r="A141" t="str">
        <x:v>Excellent Traders</x:v>
      </x:c>
      <x:c r="B141" t="str">
        <x:v>NA/5047/25-26</x:v>
      </x:c>
      <x:c r="C141" s="6" t="n">
        <x:v>46067</x:v>
      </x:c>
      <x:c r="D141" s="7" t="n">
        <x:v>3125</x:v>
      </x:c>
      <x:c r="E141" s="6" t="n">
        <x:v>46067</x:v>
      </x:c>
      <x:c r="F141" t="n">
        <x:f>TODAY()-E141</x:f>
        <x:v>168</x:v>
      </x:c>
      <x:c r="G141" s="7" t="n">
        <x:f>SUMIF($A$5:$A$563,A141,$D$5:$D$563)</x:f>
        <x:v>10782</x:v>
      </x:c>
    </x:row>
    <x:row r="142">
      <x:c r="A142" t="str">
        <x:v>Excellent Traders</x:v>
      </x:c>
      <x:c r="B142" t="str">
        <x:v>NA/1220/26-27</x:v>
      </x:c>
      <x:c r="C142" s="6" t="n">
        <x:v>46199</x:v>
      </x:c>
      <x:c r="D142" s="7" t="n">
        <x:v>7657</x:v>
      </x:c>
      <x:c r="E142" s="6" t="n">
        <x:v>46199</x:v>
      </x:c>
      <x:c r="F142" t="n">
        <x:f>TODAY()-E142</x:f>
        <x:v>36</x:v>
      </x:c>
      <x:c r="G142" s="7" t="n">
        <x:f>SUMIF($A$5:$A$563,A142,$D$5:$D$563)</x:f>
        <x:v>10782</x:v>
      </x:c>
    </x:row>
    <x:row r="143">
      <x:c r="A143" t="str">
        <x:v>Unique Wire Ropes &amp; Tackles</x:v>
      </x:c>
      <x:c r="B143" t="str">
        <x:v>NA/5067/25-26</x:v>
      </x:c>
      <x:c r="C143" s="6" t="n">
        <x:v>46070</x:v>
      </x:c>
      <x:c r="D143" s="7" t="n">
        <x:v>625</x:v>
      </x:c>
      <x:c r="E143" s="6" t="n">
        <x:v>46070</x:v>
      </x:c>
      <x:c r="F143" t="n">
        <x:f>TODAY()-E143</x:f>
        <x:v>165</x:v>
      </x:c>
      <x:c r="G143" s="7" t="n">
        <x:f>SUMIF($A$5:$A$563,A143,$D$5:$D$563)</x:f>
        <x:v>86975</x:v>
      </x:c>
    </x:row>
    <x:row r="144">
      <x:c r="A144" t="str">
        <x:v>Unique Wire Ropes &amp; Tackles</x:v>
      </x:c>
      <x:c r="B144" t="str">
        <x:v>NA/5388/25-26</x:v>
      </x:c>
      <x:c r="C144" s="6" t="n">
        <x:v>46091</x:v>
      </x:c>
      <x:c r="D144" s="7" t="n">
        <x:v>8446</x:v>
      </x:c>
      <x:c r="E144" s="6" t="n">
        <x:v>46091</x:v>
      </x:c>
      <x:c r="F144" t="n">
        <x:f>TODAY()-E144</x:f>
        <x:v>144</x:v>
      </x:c>
      <x:c r="G144" s="7" t="n">
        <x:f>SUMIF($A$5:$A$563,A144,$D$5:$D$563)</x:f>
        <x:v>86975</x:v>
      </x:c>
    </x:row>
    <x:row r="145">
      <x:c r="A145" t="str">
        <x:v>Unique Wire Ropes &amp; Tackles</x:v>
      </x:c>
      <x:c r="B145" t="str">
        <x:v>NA/0069/26-27</x:v>
      </x:c>
      <x:c r="C145" s="6" t="n">
        <x:v>46116</x:v>
      </x:c>
      <x:c r="D145" s="7" t="n">
        <x:v>22323</x:v>
      </x:c>
      <x:c r="E145" s="6" t="n">
        <x:v>46116</x:v>
      </x:c>
      <x:c r="F145" t="n">
        <x:f>TODAY()-E145</x:f>
        <x:v>119</x:v>
      </x:c>
      <x:c r="G145" s="7" t="n">
        <x:f>SUMIF($A$5:$A$563,A145,$D$5:$D$563)</x:f>
        <x:v>86975</x:v>
      </x:c>
    </x:row>
    <x:row r="146">
      <x:c r="A146" t="str">
        <x:v>Unique Wire Ropes &amp; Tackles</x:v>
      </x:c>
      <x:c r="B146" t="str">
        <x:v>NA/0356/26-27</x:v>
      </x:c>
      <x:c r="C146" s="6" t="n">
        <x:v>46140</x:v>
      </x:c>
      <x:c r="D146" s="7" t="n">
        <x:v>3801</x:v>
      </x:c>
      <x:c r="E146" s="6" t="n">
        <x:v>46140</x:v>
      </x:c>
      <x:c r="F146" t="n">
        <x:f>TODAY()-E146</x:f>
        <x:v>95</x:v>
      </x:c>
      <x:c r="G146" s="7" t="n">
        <x:f>SUMIF($A$5:$A$563,A146,$D$5:$D$563)</x:f>
        <x:v>86975</x:v>
      </x:c>
    </x:row>
    <x:row r="147">
      <x:c r="A147" t="str">
        <x:v>Unique Wire Ropes &amp; Tackles</x:v>
      </x:c>
      <x:c r="B147" t="str">
        <x:v>NA/0411/26-27</x:v>
      </x:c>
      <x:c r="C147" s="6" t="n">
        <x:v>46144</x:v>
      </x:c>
      <x:c r="D147" s="7" t="n">
        <x:v>17463</x:v>
      </x:c>
      <x:c r="E147" s="6" t="n">
        <x:v>46144</x:v>
      </x:c>
      <x:c r="F147" t="n">
        <x:f>TODAY()-E147</x:f>
        <x:v>91</x:v>
      </x:c>
      <x:c r="G147" s="7" t="n">
        <x:f>SUMIF($A$5:$A$563,A147,$D$5:$D$563)</x:f>
        <x:v>86975</x:v>
      </x:c>
    </x:row>
    <x:row r="148">
      <x:c r="A148" t="str">
        <x:v>Unique Wire Ropes &amp; Tackles</x:v>
      </x:c>
      <x:c r="B148" t="str">
        <x:v>NA/0591/26-27</x:v>
      </x:c>
      <x:c r="C148" s="6" t="n">
        <x:v>46157</x:v>
      </x:c>
      <x:c r="D148" s="7" t="n">
        <x:v>368</x:v>
      </x:c>
      <x:c r="E148" s="6" t="n">
        <x:v>46157</x:v>
      </x:c>
      <x:c r="F148" t="n">
        <x:f>TODAY()-E148</x:f>
        <x:v>78</x:v>
      </x:c>
      <x:c r="G148" s="7" t="n">
        <x:f>SUMIF($A$5:$A$563,A148,$D$5:$D$563)</x:f>
        <x:v>86975</x:v>
      </x:c>
    </x:row>
    <x:row r="149">
      <x:c r="A149" t="str">
        <x:v>Unique Wire Ropes &amp; Tackles</x:v>
      </x:c>
      <x:c r="B149" t="str">
        <x:v>NA/0652/26-27</x:v>
      </x:c>
      <x:c r="C149" s="6" t="n">
        <x:v>46161</x:v>
      </x:c>
      <x:c r="D149" s="7" t="n">
        <x:v>10500</x:v>
      </x:c>
      <x:c r="E149" s="6" t="n">
        <x:v>46161</x:v>
      </x:c>
      <x:c r="F149" t="n">
        <x:f>TODAY()-E149</x:f>
        <x:v>74</x:v>
      </x:c>
      <x:c r="G149" s="7" t="n">
        <x:f>SUMIF($A$5:$A$563,A149,$D$5:$D$563)</x:f>
        <x:v>86975</x:v>
      </x:c>
    </x:row>
    <x:row r="150">
      <x:c r="A150" t="str">
        <x:v>Unique Wire Ropes &amp; Tackles</x:v>
      </x:c>
      <x:c r="B150" t="str">
        <x:v>NA/0735/26-27</x:v>
      </x:c>
      <x:c r="C150" s="6" t="n">
        <x:v>46165</x:v>
      </x:c>
      <x:c r="D150" s="7" t="n">
        <x:v>420</x:v>
      </x:c>
      <x:c r="E150" s="6" t="n">
        <x:v>46165</x:v>
      </x:c>
      <x:c r="F150" t="n">
        <x:f>TODAY()-E150</x:f>
        <x:v>70</x:v>
      </x:c>
      <x:c r="G150" s="7" t="n">
        <x:f>SUMIF($A$5:$A$563,A150,$D$5:$D$563)</x:f>
        <x:v>86975</x:v>
      </x:c>
    </x:row>
    <x:row r="151">
      <x:c r="A151" t="str">
        <x:v>Unique Wire Ropes &amp; Tackles</x:v>
      </x:c>
      <x:c r="B151" t="str">
        <x:v>NA/0736/26-27</x:v>
      </x:c>
      <x:c r="C151" s="6" t="n">
        <x:v>46165</x:v>
      </x:c>
      <x:c r="D151" s="7" t="n">
        <x:v>1400</x:v>
      </x:c>
      <x:c r="E151" s="6" t="n">
        <x:v>46165</x:v>
      </x:c>
      <x:c r="F151" t="n">
        <x:f>TODAY()-E151</x:f>
        <x:v>70</x:v>
      </x:c>
      <x:c r="G151" s="7" t="n">
        <x:f>SUMIF($A$5:$A$563,A151,$D$5:$D$563)</x:f>
        <x:v>86975</x:v>
      </x:c>
    </x:row>
    <x:row r="152">
      <x:c r="A152" t="str">
        <x:v>Unique Wire Ropes &amp; Tackles</x:v>
      </x:c>
      <x:c r="B152" t="str">
        <x:v>NA/0751/26-27</x:v>
      </x:c>
      <x:c r="C152" s="6" t="n">
        <x:v>46165</x:v>
      </x:c>
      <x:c r="D152" s="7" t="n">
        <x:v>700</x:v>
      </x:c>
      <x:c r="E152" s="6" t="n">
        <x:v>46165</x:v>
      </x:c>
      <x:c r="F152" t="n">
        <x:f>TODAY()-E152</x:f>
        <x:v>70</x:v>
      </x:c>
      <x:c r="G152" s="7" t="n">
        <x:f>SUMIF($A$5:$A$563,A152,$D$5:$D$563)</x:f>
        <x:v>86975</x:v>
      </x:c>
    </x:row>
    <x:row r="153">
      <x:c r="A153" t="str">
        <x:v>Unique Wire Ropes &amp; Tackles</x:v>
      </x:c>
      <x:c r="B153" t="str">
        <x:v>NA/0811/26-27</x:v>
      </x:c>
      <x:c r="C153" s="6" t="n">
        <x:v>46170</x:v>
      </x:c>
      <x:c r="D153" s="7" t="n">
        <x:v>5775</x:v>
      </x:c>
      <x:c r="E153" s="6" t="n">
        <x:v>46170</x:v>
      </x:c>
      <x:c r="F153" t="n">
        <x:f>TODAY()-E153</x:f>
        <x:v>65</x:v>
      </x:c>
      <x:c r="G153" s="7" t="n">
        <x:f>SUMIF($A$5:$A$563,A153,$D$5:$D$563)</x:f>
        <x:v>86975</x:v>
      </x:c>
    </x:row>
    <x:row r="154">
      <x:c r="A154" t="str">
        <x:v>Unique Wire Ropes &amp; Tackles</x:v>
      </x:c>
      <x:c r="B154" t="str">
        <x:v>NA/0913/26-27</x:v>
      </x:c>
      <x:c r="C154" s="6" t="n">
        <x:v>46177</x:v>
      </x:c>
      <x:c r="D154" s="7" t="n">
        <x:v>6836</x:v>
      </x:c>
      <x:c r="E154" s="6" t="n">
        <x:v>46177</x:v>
      </x:c>
      <x:c r="F154" t="n">
        <x:f>TODAY()-E154</x:f>
        <x:v>58</x:v>
      </x:c>
      <x:c r="G154" s="7" t="n">
        <x:f>SUMIF($A$5:$A$563,A154,$D$5:$D$563)</x:f>
        <x:v>86975</x:v>
      </x:c>
    </x:row>
    <x:row r="155">
      <x:c r="A155" t="str">
        <x:v>Unique Wire Ropes &amp; Tackles</x:v>
      </x:c>
      <x:c r="B155" t="str">
        <x:v>NA/1061/26-27</x:v>
      </x:c>
      <x:c r="C155" s="6" t="n">
        <x:v>46183</x:v>
      </x:c>
      <x:c r="D155" s="7" t="n">
        <x:v>2100</x:v>
      </x:c>
      <x:c r="E155" s="6" t="n">
        <x:v>46183</x:v>
      </x:c>
      <x:c r="F155" t="n">
        <x:f>TODAY()-E155</x:f>
        <x:v>52</x:v>
      </x:c>
      <x:c r="G155" s="7" t="n">
        <x:f>SUMIF($A$5:$A$563,A155,$D$5:$D$563)</x:f>
        <x:v>86975</x:v>
      </x:c>
    </x:row>
    <x:row r="156">
      <x:c r="A156" t="str">
        <x:v>Unique Wire Ropes &amp; Tackles</x:v>
      </x:c>
      <x:c r="B156" t="str">
        <x:v>NA/1136/26-27</x:v>
      </x:c>
      <x:c r="C156" s="6" t="n">
        <x:v>46188</x:v>
      </x:c>
      <x:c r="D156" s="7" t="n">
        <x:v>630</x:v>
      </x:c>
      <x:c r="E156" s="6" t="n">
        <x:v>46188</x:v>
      </x:c>
      <x:c r="F156" t="n">
        <x:f>TODAY()-E156</x:f>
        <x:v>47</x:v>
      </x:c>
      <x:c r="G156" s="7" t="n">
        <x:f>SUMIF($A$5:$A$563,A156,$D$5:$D$563)</x:f>
        <x:v>86975</x:v>
      </x:c>
    </x:row>
    <x:row r="157">
      <x:c r="A157" t="str">
        <x:v>Unique Wire Ropes &amp; Tackles</x:v>
      </x:c>
      <x:c r="B157" t="str">
        <x:v>NA/1283/26-27</x:v>
      </x:c>
      <x:c r="C157" s="6" t="n">
        <x:v>46203</x:v>
      </x:c>
      <x:c r="D157" s="7" t="n">
        <x:v>3060</x:v>
      </x:c>
      <x:c r="E157" s="6" t="n">
        <x:v>46203</x:v>
      </x:c>
      <x:c r="F157" t="n">
        <x:f>TODAY()-E157</x:f>
        <x:v>32</x:v>
      </x:c>
      <x:c r="G157" s="7" t="n">
        <x:f>SUMIF($A$5:$A$563,A157,$D$5:$D$563)</x:f>
        <x:v>86975</x:v>
      </x:c>
    </x:row>
    <x:row r="158">
      <x:c r="A158" t="str">
        <x:v>Unique Wire Ropes &amp; Tackles</x:v>
      </x:c>
      <x:c r="B158" t="str">
        <x:v>NA/1372/26-27</x:v>
      </x:c>
      <x:c r="C158" s="6" t="n">
        <x:v>46207</x:v>
      </x:c>
      <x:c r="D158" s="7" t="n">
        <x:v>1184</x:v>
      </x:c>
      <x:c r="E158" s="6" t="n">
        <x:v>46207</x:v>
      </x:c>
      <x:c r="F158" t="n">
        <x:f>TODAY()-E158</x:f>
        <x:v>28</x:v>
      </x:c>
      <x:c r="G158" s="7" t="n">
        <x:f>SUMIF($A$5:$A$563,A158,$D$5:$D$563)</x:f>
        <x:v>86975</x:v>
      </x:c>
    </x:row>
    <x:row r="159">
      <x:c r="A159" t="str">
        <x:v>Unique Wire Ropes &amp; Tackles</x:v>
      </x:c>
      <x:c r="B159" t="str">
        <x:v>NA/1772/26-27</x:v>
      </x:c>
      <x:c r="C159" s="6" t="n">
        <x:v>46228</x:v>
      </x:c>
      <x:c r="D159" s="7" t="n">
        <x:v>1098</x:v>
      </x:c>
      <x:c r="E159" s="6" t="n">
        <x:v>46228</x:v>
      </x:c>
      <x:c r="F159" t="n">
        <x:f>TODAY()-E159</x:f>
        <x:v>7</x:v>
      </x:c>
      <x:c r="G159" s="7" t="n">
        <x:f>SUMIF($A$5:$A$563,A159,$D$5:$D$563)</x:f>
        <x:v>86975</x:v>
      </x:c>
    </x:row>
    <x:row r="160">
      <x:c r="A160" t="str">
        <x:v>Unique Wire Ropes &amp; Tackles</x:v>
      </x:c>
      <x:c r="B160" t="str">
        <x:v>NA/1900/26-27</x:v>
      </x:c>
      <x:c r="C160" s="6" t="n">
        <x:v>46235</x:v>
      </x:c>
      <x:c r="D160" s="7" t="n">
        <x:v>246</x:v>
      </x:c>
      <x:c r="E160" s="6" t="n">
        <x:v>46235</x:v>
      </x:c>
      <x:c r="F160" t="n">
        <x:f>TODAY()-E160</x:f>
        <x:v>0</x:v>
      </x:c>
      <x:c r="G160" s="7" t="n">
        <x:f>SUMIF($A$5:$A$563,A160,$D$5:$D$563)</x:f>
        <x:v>86975</x:v>
      </x:c>
    </x:row>
    <x:row r="161">
      <x:c r="A161" t="str">
        <x:v>TRUE VALUE SHOES AND SAFETY</x:v>
      </x:c>
      <x:c r="B161" t="str">
        <x:v>NA/5135/25-26</x:v>
      </x:c>
      <x:c r="C161" s="6" t="n">
        <x:v>46073</x:v>
      </x:c>
      <x:c r="D161" s="7" t="n">
        <x:v>12500</x:v>
      </x:c>
      <x:c r="E161" s="6" t="n">
        <x:v>46073</x:v>
      </x:c>
      <x:c r="F161" t="n">
        <x:f>TODAY()-E161</x:f>
        <x:v>162</x:v>
      </x:c>
      <x:c r="G161" s="7" t="n">
        <x:f>SUMIF($A$5:$A$563,A161,$D$5:$D$563)</x:f>
        <x:v>68445</x:v>
      </x:c>
    </x:row>
    <x:row r="162">
      <x:c r="A162" t="str">
        <x:v>TRUE VALUE SHOES AND SAFETY</x:v>
      </x:c>
      <x:c r="B162" t="str">
        <x:v>NA/5156/25-26</x:v>
      </x:c>
      <x:c r="C162" s="6" t="n">
        <x:v>46074</x:v>
      </x:c>
      <x:c r="D162" s="7" t="n">
        <x:v>3570</x:v>
      </x:c>
      <x:c r="E162" s="6" t="n">
        <x:v>46074</x:v>
      </x:c>
      <x:c r="F162" t="n">
        <x:f>TODAY()-E162</x:f>
        <x:v>161</x:v>
      </x:c>
      <x:c r="G162" s="7" t="n">
        <x:f>SUMIF($A$5:$A$563,A162,$D$5:$D$563)</x:f>
        <x:v>68445</x:v>
      </x:c>
    </x:row>
    <x:row r="163">
      <x:c r="A163" t="str">
        <x:v>TRUE VALUE SHOES AND SAFETY</x:v>
      </x:c>
      <x:c r="B163" t="str">
        <x:v>NA/5208/25-26</x:v>
      </x:c>
      <x:c r="C163" s="6" t="n">
        <x:v>46078</x:v>
      </x:c>
      <x:c r="D163" s="7" t="n">
        <x:v>1339</x:v>
      </x:c>
      <x:c r="E163" s="6" t="n">
        <x:v>46078</x:v>
      </x:c>
      <x:c r="F163" t="n">
        <x:f>TODAY()-E163</x:f>
        <x:v>157</x:v>
      </x:c>
      <x:c r="G163" s="7" t="n">
        <x:f>SUMIF($A$5:$A$563,A163,$D$5:$D$563)</x:f>
        <x:v>68445</x:v>
      </x:c>
    </x:row>
    <x:row r="164">
      <x:c r="A164" t="str">
        <x:v>TRUE VALUE SHOES AND SAFETY</x:v>
      </x:c>
      <x:c r="B164" t="str">
        <x:v>NA/5224/25-26</x:v>
      </x:c>
      <x:c r="C164" s="6" t="n">
        <x:v>46079</x:v>
      </x:c>
      <x:c r="D164" s="7" t="n">
        <x:v>4640</x:v>
      </x:c>
      <x:c r="E164" s="6" t="n">
        <x:v>46079</x:v>
      </x:c>
      <x:c r="F164" t="n">
        <x:f>TODAY()-E164</x:f>
        <x:v>156</x:v>
      </x:c>
      <x:c r="G164" s="7" t="n">
        <x:f>SUMIF($A$5:$A$563,A164,$D$5:$D$563)</x:f>
        <x:v>68445</x:v>
      </x:c>
    </x:row>
    <x:row r="165">
      <x:c r="A165" t="str">
        <x:v>TRUE VALUE SHOES AND SAFETY</x:v>
      </x:c>
      <x:c r="B165" t="str">
        <x:v>NA/5226/25-26</x:v>
      </x:c>
      <x:c r="C165" s="6" t="n">
        <x:v>46079</x:v>
      </x:c>
      <x:c r="D165" s="7" t="n">
        <x:v>180</x:v>
      </x:c>
      <x:c r="E165" s="6" t="n">
        <x:v>46079</x:v>
      </x:c>
      <x:c r="F165" t="n">
        <x:f>TODAY()-E165</x:f>
        <x:v>156</x:v>
      </x:c>
      <x:c r="G165" s="7" t="n">
        <x:f>SUMIF($A$5:$A$563,A165,$D$5:$D$563)</x:f>
        <x:v>68445</x:v>
      </x:c>
    </x:row>
    <x:row r="166">
      <x:c r="A166" t="str">
        <x:v>TRUE VALUE SHOES AND SAFETY</x:v>
      </x:c>
      <x:c r="B166" t="str">
        <x:v>NA/5250/25-26</x:v>
      </x:c>
      <x:c r="C166" s="6" t="n">
        <x:v>46081</x:v>
      </x:c>
      <x:c r="D166" s="7" t="n">
        <x:v>1250</x:v>
      </x:c>
      <x:c r="E166" s="6" t="n">
        <x:v>46081</x:v>
      </x:c>
      <x:c r="F166" t="n">
        <x:f>TODAY()-E166</x:f>
        <x:v>154</x:v>
      </x:c>
      <x:c r="G166" s="7" t="n">
        <x:f>SUMIF($A$5:$A$563,A166,$D$5:$D$563)</x:f>
        <x:v>68445</x:v>
      </x:c>
    </x:row>
    <x:row r="167">
      <x:c r="A167" t="str">
        <x:v>TRUE VALUE SHOES AND SAFETY</x:v>
      </x:c>
      <x:c r="B167" t="str">
        <x:v>NA/5300/25-26</x:v>
      </x:c>
      <x:c r="C167" s="6" t="n">
        <x:v>46084</x:v>
      </x:c>
      <x:c r="D167" s="7" t="n">
        <x:v>3588</x:v>
      </x:c>
      <x:c r="E167" s="6" t="n">
        <x:v>46084</x:v>
      </x:c>
      <x:c r="F167" t="n">
        <x:f>TODAY()-E167</x:f>
        <x:v>151</x:v>
      </x:c>
      <x:c r="G167" s="7" t="n">
        <x:f>SUMIF($A$5:$A$563,A167,$D$5:$D$563)</x:f>
        <x:v>68445</x:v>
      </x:c>
    </x:row>
    <x:row r="168">
      <x:c r="A168" t="str">
        <x:v>TRUE VALUE SHOES AND SAFETY</x:v>
      </x:c>
      <x:c r="B168" t="str">
        <x:v>NA/0865/26-27</x:v>
      </x:c>
      <x:c r="C168" s="6" t="n">
        <x:v>46174</x:v>
      </x:c>
      <x:c r="D168" s="7" t="n">
        <x:v>5573</x:v>
      </x:c>
      <x:c r="E168" s="6" t="n">
        <x:v>46174</x:v>
      </x:c>
      <x:c r="F168" t="n">
        <x:f>TODAY()-E168</x:f>
        <x:v>61</x:v>
      </x:c>
      <x:c r="G168" s="7" t="n">
        <x:f>SUMIF($A$5:$A$563,A168,$D$5:$D$563)</x:f>
        <x:v>68445</x:v>
      </x:c>
    </x:row>
    <x:row r="169">
      <x:c r="A169" t="str">
        <x:v>TRUE VALUE SHOES AND SAFETY</x:v>
      </x:c>
      <x:c r="B169" t="str">
        <x:v>NA/0886/26-27</x:v>
      </x:c>
      <x:c r="C169" s="6" t="n">
        <x:v>46175</x:v>
      </x:c>
      <x:c r="D169" s="7" t="n">
        <x:v>4200</x:v>
      </x:c>
      <x:c r="E169" s="6" t="n">
        <x:v>46175</x:v>
      </x:c>
      <x:c r="F169" t="n">
        <x:f>TODAY()-E169</x:f>
        <x:v>60</x:v>
      </x:c>
      <x:c r="G169" s="7" t="n">
        <x:f>SUMIF($A$5:$A$563,A169,$D$5:$D$563)</x:f>
        <x:v>68445</x:v>
      </x:c>
    </x:row>
    <x:row r="170">
      <x:c r="A170" t="str">
        <x:v>TRUE VALUE SHOES AND SAFETY</x:v>
      </x:c>
      <x:c r="B170" t="str">
        <x:v>NA/1151/26-27</x:v>
      </x:c>
      <x:c r="C170" s="6" t="n">
        <x:v>46188</x:v>
      </x:c>
      <x:c r="D170" s="7" t="n">
        <x:v>3460</x:v>
      </x:c>
      <x:c r="E170" s="6" t="n">
        <x:v>46188</x:v>
      </x:c>
      <x:c r="F170" t="n">
        <x:f>TODAY()-E170</x:f>
        <x:v>47</x:v>
      </x:c>
      <x:c r="G170" s="7" t="n">
        <x:f>SUMIF($A$5:$A$563,A170,$D$5:$D$563)</x:f>
        <x:v>68445</x:v>
      </x:c>
    </x:row>
    <x:row r="171">
      <x:c r="A171" t="str">
        <x:v>TRUE VALUE SHOES AND SAFETY</x:v>
      </x:c>
      <x:c r="B171" t="str">
        <x:v>NA/1227/26-27</x:v>
      </x:c>
      <x:c r="C171" s="6" t="n">
        <x:v>46199</x:v>
      </x:c>
      <x:c r="D171" s="7" t="n">
        <x:v>4200</x:v>
      </x:c>
      <x:c r="E171" s="6" t="n">
        <x:v>46199</x:v>
      </x:c>
      <x:c r="F171" t="n">
        <x:f>TODAY()-E171</x:f>
        <x:v>36</x:v>
      </x:c>
      <x:c r="G171" s="7" t="n">
        <x:f>SUMIF($A$5:$A$563,A171,$D$5:$D$563)</x:f>
        <x:v>68445</x:v>
      </x:c>
    </x:row>
    <x:row r="172">
      <x:c r="A172" t="str">
        <x:v>TRUE VALUE SHOES AND SAFETY</x:v>
      </x:c>
      <x:c r="B172" t="str">
        <x:v>NA/1258/26-27</x:v>
      </x:c>
      <x:c r="C172" s="6" t="n">
        <x:v>46202</x:v>
      </x:c>
      <x:c r="D172" s="7" t="n">
        <x:v>4200</x:v>
      </x:c>
      <x:c r="E172" s="6" t="n">
        <x:v>46202</x:v>
      </x:c>
      <x:c r="F172" t="n">
        <x:f>TODAY()-E172</x:f>
        <x:v>33</x:v>
      </x:c>
      <x:c r="G172" s="7" t="n">
        <x:f>SUMIF($A$5:$A$563,A172,$D$5:$D$563)</x:f>
        <x:v>68445</x:v>
      </x:c>
    </x:row>
    <x:row r="173">
      <x:c r="A173" t="str">
        <x:v>TRUE VALUE SHOES AND SAFETY</x:v>
      </x:c>
      <x:c r="B173" t="str">
        <x:v>NA/1410/26-27</x:v>
      </x:c>
      <x:c r="C173" s="6" t="n">
        <x:v>46210</x:v>
      </x:c>
      <x:c r="D173" s="7" t="n">
        <x:v>9245</x:v>
      </x:c>
      <x:c r="E173" s="6" t="n">
        <x:v>46210</x:v>
      </x:c>
      <x:c r="F173" t="n">
        <x:f>TODAY()-E173</x:f>
        <x:v>25</x:v>
      </x:c>
      <x:c r="G173" s="7" t="n">
        <x:f>SUMIF($A$5:$A$563,A173,$D$5:$D$563)</x:f>
        <x:v>68445</x:v>
      </x:c>
    </x:row>
    <x:row r="174">
      <x:c r="A174" t="str">
        <x:v>TRUE VALUE SHOES AND SAFETY</x:v>
      </x:c>
      <x:c r="B174" t="str">
        <x:v>NA/1480/26-27</x:v>
      </x:c>
      <x:c r="C174" s="6" t="n">
        <x:v>46213</x:v>
      </x:c>
      <x:c r="D174" s="7" t="n">
        <x:v>4200</x:v>
      </x:c>
      <x:c r="E174" s="6" t="n">
        <x:v>46213</x:v>
      </x:c>
      <x:c r="F174" t="n">
        <x:f>TODAY()-E174</x:f>
        <x:v>22</x:v>
      </x:c>
      <x:c r="G174" s="7" t="n">
        <x:f>SUMIF($A$5:$A$563,A174,$D$5:$D$563)</x:f>
        <x:v>68445</x:v>
      </x:c>
    </x:row>
    <x:row r="175">
      <x:c r="A175" t="str">
        <x:v>TRUE VALUE SHOES AND SAFETY</x:v>
      </x:c>
      <x:c r="B175" t="str">
        <x:v>NA/1661/26-27</x:v>
      </x:c>
      <x:c r="C175" s="6" t="n">
        <x:v>46223</x:v>
      </x:c>
      <x:c r="D175" s="7" t="n">
        <x:v>4200</x:v>
      </x:c>
      <x:c r="E175" s="6" t="n">
        <x:v>46223</x:v>
      </x:c>
      <x:c r="F175" t="n">
        <x:f>TODAY()-E175</x:f>
        <x:v>12</x:v>
      </x:c>
      <x:c r="G175" s="7" t="n">
        <x:f>SUMIF($A$5:$A$563,A175,$D$5:$D$563)</x:f>
        <x:v>68445</x:v>
      </x:c>
    </x:row>
    <x:row r="176">
      <x:c r="A176" t="str">
        <x:v>TRUE VALUE SHOES AND SAFETY</x:v>
      </x:c>
      <x:c r="B176" t="str">
        <x:v>NA/1690/26-27</x:v>
      </x:c>
      <x:c r="C176" s="6" t="n">
        <x:v>46224</x:v>
      </x:c>
      <x:c r="D176" s="7" t="n">
        <x:v>2100</x:v>
      </x:c>
      <x:c r="E176" s="6" t="n">
        <x:v>46224</x:v>
      </x:c>
      <x:c r="F176" t="n">
        <x:f>TODAY()-E176</x:f>
        <x:v>11</x:v>
      </x:c>
      <x:c r="G176" s="7" t="n">
        <x:f>SUMIF($A$5:$A$563,A176,$D$5:$D$563)</x:f>
        <x:v>68445</x:v>
      </x:c>
    </x:row>
    <x:row r="177">
      <x:c r="A177" t="str">
        <x:v>SSTG TECHNOLOGIES INDIA PRIVATE LIMITED</x:v>
      </x:c>
      <x:c r="B177" t="str">
        <x:v>NA/5225/25-26</x:v>
      </x:c>
      <x:c r="C177" s="6" t="n">
        <x:v>46079</x:v>
      </x:c>
      <x:c r="D177" s="7" t="n">
        <x:v>2418</x:v>
      </x:c>
      <x:c r="E177" s="6" t="n">
        <x:v>46079</x:v>
      </x:c>
      <x:c r="F177" t="n">
        <x:f>TODAY()-E177</x:f>
        <x:v>156</x:v>
      </x:c>
      <x:c r="G177" s="7" t="n">
        <x:f>SUMIF($A$5:$A$563,A177,$D$5:$D$563)</x:f>
        <x:v>109542</x:v>
      </x:c>
    </x:row>
    <x:row r="178">
      <x:c r="A178" t="str">
        <x:v>SSTG TECHNOLOGIES INDIA PRIVATE LIMITED</x:v>
      </x:c>
      <x:c r="B178" t="str">
        <x:v>NA/5233/25-26</x:v>
      </x:c>
      <x:c r="C178" s="6" t="n">
        <x:v>46080</x:v>
      </x:c>
      <x:c r="D178" s="7" t="n">
        <x:v>9867</x:v>
      </x:c>
      <x:c r="E178" s="6" t="n">
        <x:v>46080</x:v>
      </x:c>
      <x:c r="F178" t="n">
        <x:f>TODAY()-E178</x:f>
        <x:v>155</x:v>
      </x:c>
      <x:c r="G178" s="7" t="n">
        <x:f>SUMIF($A$5:$A$563,A178,$D$5:$D$563)</x:f>
        <x:v>109542</x:v>
      </x:c>
    </x:row>
    <x:row r="179">
      <x:c r="A179" t="str">
        <x:v>SSTG TECHNOLOGIES INDIA PRIVATE LIMITED</x:v>
      </x:c>
      <x:c r="B179" t="str">
        <x:v>NA/5322/25-26</x:v>
      </x:c>
      <x:c r="C179" s="6" t="n">
        <x:v>46086</x:v>
      </x:c>
      <x:c r="D179" s="7" t="n">
        <x:v>350</x:v>
      </x:c>
      <x:c r="E179" s="6" t="n">
        <x:v>46086</x:v>
      </x:c>
      <x:c r="F179" t="n">
        <x:f>TODAY()-E179</x:f>
        <x:v>149</x:v>
      </x:c>
      <x:c r="G179" s="7" t="n">
        <x:f>SUMIF($A$5:$A$563,A179,$D$5:$D$563)</x:f>
        <x:v>109542</x:v>
      </x:c>
    </x:row>
    <x:row r="180">
      <x:c r="A180" t="str">
        <x:v>SSTG TECHNOLOGIES INDIA PRIVATE LIMITED</x:v>
      </x:c>
      <x:c r="B180" t="str">
        <x:v>NA/5384/25-26</x:v>
      </x:c>
      <x:c r="C180" s="6" t="n">
        <x:v>46090</x:v>
      </x:c>
      <x:c r="D180" s="7" t="n">
        <x:v>3044</x:v>
      </x:c>
      <x:c r="E180" s="6" t="n">
        <x:v>46090</x:v>
      </x:c>
      <x:c r="F180" t="n">
        <x:f>TODAY()-E180</x:f>
        <x:v>145</x:v>
      </x:c>
      <x:c r="G180" s="7" t="n">
        <x:f>SUMIF($A$5:$A$563,A180,$D$5:$D$563)</x:f>
        <x:v>109542</x:v>
      </x:c>
    </x:row>
    <x:row r="181">
      <x:c r="A181" t="str">
        <x:v>SSTG TECHNOLOGIES INDIA PRIVATE LIMITED</x:v>
      </x:c>
      <x:c r="B181" t="str">
        <x:v>NA/5429/25-26</x:v>
      </x:c>
      <x:c r="C181" s="6" t="n">
        <x:v>46093</x:v>
      </x:c>
      <x:c r="D181" s="7" t="n">
        <x:v>2100</x:v>
      </x:c>
      <x:c r="E181" s="6" t="n">
        <x:v>46093</x:v>
      </x:c>
      <x:c r="F181" t="n">
        <x:f>TODAY()-E181</x:f>
        <x:v>142</x:v>
      </x:c>
      <x:c r="G181" s="7" t="n">
        <x:f>SUMIF($A$5:$A$563,A181,$D$5:$D$563)</x:f>
        <x:v>109542</x:v>
      </x:c>
    </x:row>
    <x:row r="182">
      <x:c r="A182" t="str">
        <x:v>SSTG TECHNOLOGIES INDIA PRIVATE LIMITED</x:v>
      </x:c>
      <x:c r="B182" t="str">
        <x:v>NA/5460/25-26</x:v>
      </x:c>
      <x:c r="C182" s="6" t="n">
        <x:v>46095</x:v>
      </x:c>
      <x:c r="D182" s="7" t="n">
        <x:v>9122</x:v>
      </x:c>
      <x:c r="E182" s="6" t="n">
        <x:v>46095</x:v>
      </x:c>
      <x:c r="F182" t="n">
        <x:f>TODAY()-E182</x:f>
        <x:v>140</x:v>
      </x:c>
      <x:c r="G182" s="7" t="n">
        <x:f>SUMIF($A$5:$A$563,A182,$D$5:$D$563)</x:f>
        <x:v>109542</x:v>
      </x:c>
    </x:row>
    <x:row r="183">
      <x:c r="A183" t="str">
        <x:v>SSTG TECHNOLOGIES INDIA PRIVATE LIMITED</x:v>
      </x:c>
      <x:c r="B183" t="str">
        <x:v>NA/5517/25-26</x:v>
      </x:c>
      <x:c r="C183" s="6" t="n">
        <x:v>46099</x:v>
      </x:c>
      <x:c r="D183" s="7" t="n">
        <x:v>5931</x:v>
      </x:c>
      <x:c r="E183" s="6" t="n">
        <x:v>46099</x:v>
      </x:c>
      <x:c r="F183" t="n">
        <x:f>TODAY()-E183</x:f>
        <x:v>136</x:v>
      </x:c>
      <x:c r="G183" s="7" t="n">
        <x:f>SUMIF($A$5:$A$563,A183,$D$5:$D$563)</x:f>
        <x:v>109542</x:v>
      </x:c>
    </x:row>
    <x:row r="184">
      <x:c r="A184" t="str">
        <x:v>SSTG TECHNOLOGIES INDIA PRIVATE LIMITED</x:v>
      </x:c>
      <x:c r="B184" t="str">
        <x:v>NA/5538/25-26</x:v>
      </x:c>
      <x:c r="C184" s="6" t="n">
        <x:v>46100</x:v>
      </x:c>
      <x:c r="D184" s="7" t="n">
        <x:v>12100</x:v>
      </x:c>
      <x:c r="E184" s="6" t="n">
        <x:v>46100</x:v>
      </x:c>
      <x:c r="F184" t="n">
        <x:f>TODAY()-E184</x:f>
        <x:v>135</x:v>
      </x:c>
      <x:c r="G184" s="7" t="n">
        <x:f>SUMIF($A$5:$A$563,A184,$D$5:$D$563)</x:f>
        <x:v>109542</x:v>
      </x:c>
    </x:row>
    <x:row r="185">
      <x:c r="A185" t="str">
        <x:v>SSTG TECHNOLOGIES INDIA PRIVATE LIMITED</x:v>
      </x:c>
      <x:c r="B185" t="str">
        <x:v>NA/5630/25-26</x:v>
      </x:c>
      <x:c r="C185" s="6" t="n">
        <x:v>46105</x:v>
      </x:c>
      <x:c r="D185" s="7" t="n">
        <x:v>1315</x:v>
      </x:c>
      <x:c r="E185" s="6" t="n">
        <x:v>46105</x:v>
      </x:c>
      <x:c r="F185" t="n">
        <x:f>TODAY()-E185</x:f>
        <x:v>130</x:v>
      </x:c>
      <x:c r="G185" s="7" t="n">
        <x:f>SUMIF($A$5:$A$563,A185,$D$5:$D$563)</x:f>
        <x:v>109542</x:v>
      </x:c>
    </x:row>
    <x:row r="186">
      <x:c r="A186" t="str">
        <x:v>SSTG TECHNOLOGIES INDIA PRIVATE LIMITED</x:v>
      </x:c>
      <x:c r="B186" t="str">
        <x:v>NA/5644/25-26</x:v>
      </x:c>
      <x:c r="C186" s="6" t="n">
        <x:v>46106</x:v>
      </x:c>
      <x:c r="D186" s="7" t="n">
        <x:v>4680</x:v>
      </x:c>
      <x:c r="E186" s="6" t="n">
        <x:v>46106</x:v>
      </x:c>
      <x:c r="F186" t="n">
        <x:f>TODAY()-E186</x:f>
        <x:v>129</x:v>
      </x:c>
      <x:c r="G186" s="7" t="n">
        <x:f>SUMIF($A$5:$A$563,A186,$D$5:$D$563)</x:f>
        <x:v>109542</x:v>
      </x:c>
    </x:row>
    <x:row r="187">
      <x:c r="A187" t="str">
        <x:v>SSTG TECHNOLOGIES INDIA PRIVATE LIMITED</x:v>
      </x:c>
      <x:c r="B187" t="str">
        <x:v>NA/5708/25-26</x:v>
      </x:c>
      <x:c r="C187" s="6" t="n">
        <x:v>46109</x:v>
      </x:c>
      <x:c r="D187" s="7" t="n">
        <x:v>700</x:v>
      </x:c>
      <x:c r="E187" s="6" t="n">
        <x:v>46109</x:v>
      </x:c>
      <x:c r="F187" t="n">
        <x:f>TODAY()-E187</x:f>
        <x:v>126</x:v>
      </x:c>
      <x:c r="G187" s="7" t="n">
        <x:f>SUMIF($A$5:$A$563,A187,$D$5:$D$563)</x:f>
        <x:v>109542</x:v>
      </x:c>
    </x:row>
    <x:row r="188">
      <x:c r="A188" t="str">
        <x:v>SSTG TECHNOLOGIES INDIA PRIVATE LIMITED</x:v>
      </x:c>
      <x:c r="B188" t="str">
        <x:v>NA/0648/26-27</x:v>
      </x:c>
      <x:c r="C188" s="6" t="n">
        <x:v>46161</x:v>
      </x:c>
      <x:c r="D188" s="7" t="n">
        <x:v>2644</x:v>
      </x:c>
      <x:c r="E188" s="6" t="n">
        <x:v>46161</x:v>
      </x:c>
      <x:c r="F188" t="n">
        <x:f>TODAY()-E188</x:f>
        <x:v>74</x:v>
      </x:c>
      <x:c r="G188" s="7" t="n">
        <x:f>SUMIF($A$5:$A$563,A188,$D$5:$D$563)</x:f>
        <x:v>109542</x:v>
      </x:c>
    </x:row>
    <x:row r="189">
      <x:c r="A189" t="str">
        <x:v>SSTG TECHNOLOGIES INDIA PRIVATE LIMITED</x:v>
      </x:c>
      <x:c r="B189" t="str">
        <x:v>NA/0721/26-27</x:v>
      </x:c>
      <x:c r="C189" s="6" t="n">
        <x:v>46165</x:v>
      </x:c>
      <x:c r="D189" s="7" t="n">
        <x:v>2714</x:v>
      </x:c>
      <x:c r="E189" s="6" t="n">
        <x:v>46165</x:v>
      </x:c>
      <x:c r="F189" t="n">
        <x:f>TODAY()-E189</x:f>
        <x:v>70</x:v>
      </x:c>
      <x:c r="G189" s="7" t="n">
        <x:f>SUMIF($A$5:$A$563,A189,$D$5:$D$563)</x:f>
        <x:v>109542</x:v>
      </x:c>
    </x:row>
    <x:row r="190">
      <x:c r="A190" t="str">
        <x:v>SSTG TECHNOLOGIES INDIA PRIVATE LIMITED</x:v>
      </x:c>
      <x:c r="B190" t="str">
        <x:v>NA/0876/26-27</x:v>
      </x:c>
      <x:c r="C190" s="6" t="n">
        <x:v>46175</x:v>
      </x:c>
      <x:c r="D190" s="7" t="n">
        <x:v>11025</x:v>
      </x:c>
      <x:c r="E190" s="6" t="n">
        <x:v>46175</x:v>
      </x:c>
      <x:c r="F190" t="n">
        <x:f>TODAY()-E190</x:f>
        <x:v>60</x:v>
      </x:c>
      <x:c r="G190" s="7" t="n">
        <x:f>SUMIF($A$5:$A$563,A190,$D$5:$D$563)</x:f>
        <x:v>109542</x:v>
      </x:c>
    </x:row>
    <x:row r="191">
      <x:c r="A191" t="str">
        <x:v>SSTG TECHNOLOGIES INDIA PRIVATE LIMITED</x:v>
      </x:c>
      <x:c r="B191" t="str">
        <x:v>NA/1016/26-27</x:v>
      </x:c>
      <x:c r="C191" s="6" t="n">
        <x:v>46182</x:v>
      </x:c>
      <x:c r="D191" s="7" t="n">
        <x:v>1900</x:v>
      </x:c>
      <x:c r="E191" s="6" t="n">
        <x:v>46182</x:v>
      </x:c>
      <x:c r="F191" t="n">
        <x:f>TODAY()-E191</x:f>
        <x:v>53</x:v>
      </x:c>
      <x:c r="G191" s="7" t="n">
        <x:f>SUMIF($A$5:$A$563,A191,$D$5:$D$563)</x:f>
        <x:v>109542</x:v>
      </x:c>
    </x:row>
    <x:row r="192">
      <x:c r="A192" t="str">
        <x:v>SSTG TECHNOLOGIES INDIA PRIVATE LIMITED</x:v>
      </x:c>
      <x:c r="B192" t="str">
        <x:v>NA/1056/26-27</x:v>
      </x:c>
      <x:c r="C192" s="6" t="n">
        <x:v>46183</x:v>
      </x:c>
      <x:c r="D192" s="7" t="n">
        <x:v>5038</x:v>
      </x:c>
      <x:c r="E192" s="6" t="n">
        <x:v>46183</x:v>
      </x:c>
      <x:c r="F192" t="n">
        <x:f>TODAY()-E192</x:f>
        <x:v>52</x:v>
      </x:c>
      <x:c r="G192" s="7" t="n">
        <x:f>SUMIF($A$5:$A$563,A192,$D$5:$D$563)</x:f>
        <x:v>109542</x:v>
      </x:c>
    </x:row>
    <x:row r="193">
      <x:c r="A193" t="str">
        <x:v>SSTG TECHNOLOGIES INDIA PRIVATE LIMITED</x:v>
      </x:c>
      <x:c r="B193" t="str">
        <x:v>NA/1271/26-27</x:v>
      </x:c>
      <x:c r="C193" s="6" t="n">
        <x:v>46202</x:v>
      </x:c>
      <x:c r="D193" s="7" t="n">
        <x:v>2172</x:v>
      </x:c>
      <x:c r="E193" s="6" t="n">
        <x:v>46202</x:v>
      </x:c>
      <x:c r="F193" t="n">
        <x:f>TODAY()-E193</x:f>
        <x:v>33</x:v>
      </x:c>
      <x:c r="G193" s="7" t="n">
        <x:f>SUMIF($A$5:$A$563,A193,$D$5:$D$563)</x:f>
        <x:v>109542</x:v>
      </x:c>
    </x:row>
    <x:row r="194">
      <x:c r="A194" t="str">
        <x:v>SSTG TECHNOLOGIES INDIA PRIVATE LIMITED</x:v>
      </x:c>
      <x:c r="B194" t="str">
        <x:v>NA/1287/26-27</x:v>
      </x:c>
      <x:c r="C194" s="6" t="n">
        <x:v>46203</x:v>
      </x:c>
      <x:c r="D194" s="7" t="n">
        <x:v>3124</x:v>
      </x:c>
      <x:c r="E194" s="6" t="n">
        <x:v>46203</x:v>
      </x:c>
      <x:c r="F194" t="n">
        <x:f>TODAY()-E194</x:f>
        <x:v>32</x:v>
      </x:c>
      <x:c r="G194" s="7" t="n">
        <x:f>SUMIF($A$5:$A$563,A194,$D$5:$D$563)</x:f>
        <x:v>109542</x:v>
      </x:c>
    </x:row>
    <x:row r="195">
      <x:c r="A195" t="str">
        <x:v>SSTG TECHNOLOGIES INDIA PRIVATE LIMITED</x:v>
      </x:c>
      <x:c r="B195" t="str">
        <x:v>NA/1298/26-27</x:v>
      </x:c>
      <x:c r="C195" s="6" t="n">
        <x:v>46204</x:v>
      </x:c>
      <x:c r="D195" s="7" t="n">
        <x:v>1400</x:v>
      </x:c>
      <x:c r="E195" s="6" t="n">
        <x:v>46204</x:v>
      </x:c>
      <x:c r="F195" t="n">
        <x:f>TODAY()-E195</x:f>
        <x:v>31</x:v>
      </x:c>
      <x:c r="G195" s="7" t="n">
        <x:f>SUMIF($A$5:$A$563,A195,$D$5:$D$563)</x:f>
        <x:v>109542</x:v>
      </x:c>
    </x:row>
    <x:row r="196">
      <x:c r="A196" t="str">
        <x:v>SSTG TECHNOLOGIES INDIA PRIVATE LIMITED</x:v>
      </x:c>
      <x:c r="B196" t="str">
        <x:v>NA/1450/26-27</x:v>
      </x:c>
      <x:c r="C196" s="6" t="n">
        <x:v>46212</x:v>
      </x:c>
      <x:c r="D196" s="7" t="n">
        <x:v>619</x:v>
      </x:c>
      <x:c r="E196" s="6" t="n">
        <x:v>46212</x:v>
      </x:c>
      <x:c r="F196" t="n">
        <x:f>TODAY()-E196</x:f>
        <x:v>23</x:v>
      </x:c>
      <x:c r="G196" s="7" t="n">
        <x:f>SUMIF($A$5:$A$563,A196,$D$5:$D$563)</x:f>
        <x:v>109542</x:v>
      </x:c>
    </x:row>
    <x:row r="197">
      <x:c r="A197" t="str">
        <x:v>SSTG TECHNOLOGIES INDIA PRIVATE LIMITED</x:v>
      </x:c>
      <x:c r="B197" t="str">
        <x:v>NA/1474/26-27</x:v>
      </x:c>
      <x:c r="C197" s="6" t="n">
        <x:v>46213</x:v>
      </x:c>
      <x:c r="D197" s="7" t="n">
        <x:v>11025</x:v>
      </x:c>
      <x:c r="E197" s="6" t="n">
        <x:v>46213</x:v>
      </x:c>
      <x:c r="F197" t="n">
        <x:f>TODAY()-E197</x:f>
        <x:v>22</x:v>
      </x:c>
      <x:c r="G197" s="7" t="n">
        <x:f>SUMIF($A$5:$A$563,A197,$D$5:$D$563)</x:f>
        <x:v>109542</x:v>
      </x:c>
    </x:row>
    <x:row r="198">
      <x:c r="A198" t="str">
        <x:v>SSTG TECHNOLOGIES INDIA PRIVATE LIMITED</x:v>
      </x:c>
      <x:c r="B198" t="str">
        <x:v>NA/1573/26-27</x:v>
      </x:c>
      <x:c r="C198" s="6" t="n">
        <x:v>46218</x:v>
      </x:c>
      <x:c r="D198" s="7" t="n">
        <x:v>2090</x:v>
      </x:c>
      <x:c r="E198" s="6" t="n">
        <x:v>46218</x:v>
      </x:c>
      <x:c r="F198" t="n">
        <x:f>TODAY()-E198</x:f>
        <x:v>17</x:v>
      </x:c>
      <x:c r="G198" s="7" t="n">
        <x:f>SUMIF($A$5:$A$563,A198,$D$5:$D$563)</x:f>
        <x:v>109542</x:v>
      </x:c>
    </x:row>
    <x:row r="199">
      <x:c r="A199" t="str">
        <x:v>SSTG TECHNOLOGIES INDIA PRIVATE LIMITED</x:v>
      </x:c>
      <x:c r="B199" t="str">
        <x:v>NA/1659/26-27</x:v>
      </x:c>
      <x:c r="C199" s="6" t="n">
        <x:v>46223</x:v>
      </x:c>
      <x:c r="D199" s="7" t="n">
        <x:v>4000</x:v>
      </x:c>
      <x:c r="E199" s="6" t="n">
        <x:v>46223</x:v>
      </x:c>
      <x:c r="F199" t="n">
        <x:f>TODAY()-E199</x:f>
        <x:v>12</x:v>
      </x:c>
      <x:c r="G199" s="7" t="n">
        <x:f>SUMIF($A$5:$A$563,A199,$D$5:$D$563)</x:f>
        <x:v>109542</x:v>
      </x:c>
    </x:row>
    <x:row r="200">
      <x:c r="A200" t="str">
        <x:v>SSTG TECHNOLOGIES INDIA PRIVATE LIMITED</x:v>
      </x:c>
      <x:c r="B200" t="str">
        <x:v>NA/1743/26-27</x:v>
      </x:c>
      <x:c r="C200" s="6" t="n">
        <x:v>46227</x:v>
      </x:c>
      <x:c r="D200" s="7" t="n">
        <x:v>10164</x:v>
      </x:c>
      <x:c r="E200" s="6" t="n">
        <x:v>46227</x:v>
      </x:c>
      <x:c r="F200" t="n">
        <x:f>TODAY()-E200</x:f>
        <x:v>8</x:v>
      </x:c>
      <x:c r="G200" s="7" t="n">
        <x:f>SUMIF($A$5:$A$563,A200,$D$5:$D$563)</x:f>
        <x:v>109542</x:v>
      </x:c>
    </x:row>
    <x:row r="201">
      <x:c r="A201" t="str">
        <x:v>Taher Enterprises</x:v>
      </x:c>
      <x:c r="B201" t="str">
        <x:v>NA/5277/25-26</x:v>
      </x:c>
      <x:c r="C201" s="6" t="n">
        <x:v>46083</x:v>
      </x:c>
      <x:c r="D201" s="7" t="n">
        <x:v>1083</x:v>
      </x:c>
      <x:c r="E201" s="6" t="n">
        <x:v>46083</x:v>
      </x:c>
      <x:c r="F201" t="n">
        <x:f>TODAY()-E201</x:f>
        <x:v>152</x:v>
      </x:c>
      <x:c r="G201" s="7" t="n">
        <x:f>SUMIF($A$5:$A$563,A201,$D$5:$D$563)</x:f>
        <x:v>22615</x:v>
      </x:c>
    </x:row>
    <x:row r="202">
      <x:c r="A202" t="str">
        <x:v>Taher Enterprises</x:v>
      </x:c>
      <x:c r="B202" t="str">
        <x:v>NA/5427/25-26</x:v>
      </x:c>
      <x:c r="C202" s="6" t="n">
        <x:v>46093</x:v>
      </x:c>
      <x:c r="D202" s="7" t="n">
        <x:v>2630</x:v>
      </x:c>
      <x:c r="E202" s="6" t="n">
        <x:v>46093</x:v>
      </x:c>
      <x:c r="F202" t="n">
        <x:f>TODAY()-E202</x:f>
        <x:v>142</x:v>
      </x:c>
      <x:c r="G202" s="7" t="n">
        <x:f>SUMIF($A$5:$A$563,A202,$D$5:$D$563)</x:f>
        <x:v>22615</x:v>
      </x:c>
    </x:row>
    <x:row r="203">
      <x:c r="A203" t="str">
        <x:v>Taher Enterprises</x:v>
      </x:c>
      <x:c r="B203" t="str">
        <x:v>NA/0193/26-27</x:v>
      </x:c>
      <x:c r="C203" s="6" t="n">
        <x:v>46125</x:v>
      </x:c>
      <x:c r="D203" s="7" t="n">
        <x:v>6183</x:v>
      </x:c>
      <x:c r="E203" s="6" t="n">
        <x:v>46125</x:v>
      </x:c>
      <x:c r="F203" t="n">
        <x:f>TODAY()-E203</x:f>
        <x:v>110</x:v>
      </x:c>
      <x:c r="G203" s="7" t="n">
        <x:f>SUMIF($A$5:$A$563,A203,$D$5:$D$563)</x:f>
        <x:v>22615</x:v>
      </x:c>
    </x:row>
    <x:row r="204">
      <x:c r="A204" t="str">
        <x:v>Taher Enterprises</x:v>
      </x:c>
      <x:c r="B204" t="str">
        <x:v>NA/1000/26-27</x:v>
      </x:c>
      <x:c r="C204" s="6" t="n">
        <x:v>46181</x:v>
      </x:c>
      <x:c r="D204" s="7" t="n">
        <x:v>8744</x:v>
      </x:c>
      <x:c r="E204" s="6" t="n">
        <x:v>46181</x:v>
      </x:c>
      <x:c r="F204" t="n">
        <x:f>TODAY()-E204</x:f>
        <x:v>54</x:v>
      </x:c>
      <x:c r="G204" s="7" t="n">
        <x:f>SUMIF($A$5:$A$563,A204,$D$5:$D$563)</x:f>
        <x:v>22615</x:v>
      </x:c>
    </x:row>
    <x:row r="205">
      <x:c r="A205" t="str">
        <x:v>Taher Enterprises</x:v>
      </x:c>
      <x:c r="B205" t="str">
        <x:v>NA/1368/26-27</x:v>
      </x:c>
      <x:c r="C205" s="6" t="n">
        <x:v>46207</x:v>
      </x:c>
      <x:c r="D205" s="7" t="n">
        <x:v>3975</x:v>
      </x:c>
      <x:c r="E205" s="6" t="n">
        <x:v>46207</x:v>
      </x:c>
      <x:c r="F205" t="n">
        <x:f>TODAY()-E205</x:f>
        <x:v>28</x:v>
      </x:c>
      <x:c r="G205" s="7" t="n">
        <x:f>SUMIF($A$5:$A$563,A205,$D$5:$D$563)</x:f>
        <x:v>22615</x:v>
      </x:c>
    </x:row>
    <x:row r="206">
      <x:c r="A206" t="str">
        <x:v>GOOD LUCK INDUSTRIALS ACCESSORIES</x:v>
      </x:c>
      <x:c r="B206" t="str">
        <x:v>NA/5335/25-26</x:v>
      </x:c>
      <x:c r="C206" s="6" t="n">
        <x:v>46087</x:v>
      </x:c>
      <x:c r="D206" s="7" t="n">
        <x:v>9828</x:v>
      </x:c>
      <x:c r="E206" s="6" t="n">
        <x:v>46087</x:v>
      </x:c>
      <x:c r="F206" t="n">
        <x:f>TODAY()-E206</x:f>
        <x:v>148</x:v>
      </x:c>
      <x:c r="G206" s="7" t="n">
        <x:f>SUMIF($A$5:$A$563,A206,$D$5:$D$563)</x:f>
        <x:v>9828</x:v>
      </x:c>
    </x:row>
    <x:row r="207">
      <x:c r="A207" t="str">
        <x:v>Alif Traders</x:v>
      </x:c>
      <x:c r="B207" t="str">
        <x:v>NA/5582/25-26</x:v>
      </x:c>
      <x:c r="C207" s="6" t="n">
        <x:v>46102</x:v>
      </x:c>
      <x:c r="D207" s="7" t="n">
        <x:v>44180</x:v>
      </x:c>
      <x:c r="E207" s="6" t="n">
        <x:v>46102</x:v>
      </x:c>
      <x:c r="F207" t="n">
        <x:f>TODAY()-E207</x:f>
        <x:v>133</x:v>
      </x:c>
      <x:c r="G207" s="7" t="n">
        <x:f>SUMIF($A$5:$A$563,A207,$D$5:$D$563)</x:f>
        <x:v>119404</x:v>
      </x:c>
    </x:row>
    <x:row r="208">
      <x:c r="A208" t="str">
        <x:v>Alif Traders</x:v>
      </x:c>
      <x:c r="B208" t="str">
        <x:v>NA/5695/25-26</x:v>
      </x:c>
      <x:c r="C208" s="6" t="n">
        <x:v>46109</x:v>
      </x:c>
      <x:c r="D208" s="7" t="n">
        <x:v>249</x:v>
      </x:c>
      <x:c r="E208" s="6" t="n">
        <x:v>46109</x:v>
      </x:c>
      <x:c r="F208" t="n">
        <x:f>TODAY()-E208</x:f>
        <x:v>126</x:v>
      </x:c>
      <x:c r="G208" s="7" t="n">
        <x:f>SUMIF($A$5:$A$563,A208,$D$5:$D$563)</x:f>
        <x:v>119404</x:v>
      </x:c>
    </x:row>
    <x:row r="209">
      <x:c r="A209" t="str">
        <x:v>Alif Traders</x:v>
      </x:c>
      <x:c r="B209" t="str">
        <x:v>NA/0064/26-27</x:v>
      </x:c>
      <x:c r="C209" s="6" t="n">
        <x:v>46116</x:v>
      </x:c>
      <x:c r="D209" s="7" t="n">
        <x:v>13500</x:v>
      </x:c>
      <x:c r="E209" s="6" t="n">
        <x:v>46116</x:v>
      </x:c>
      <x:c r="F209" t="n">
        <x:f>TODAY()-E209</x:f>
        <x:v>119</x:v>
      </x:c>
      <x:c r="G209" s="7" t="n">
        <x:f>SUMIF($A$5:$A$563,A209,$D$5:$D$563)</x:f>
        <x:v>119404</x:v>
      </x:c>
    </x:row>
    <x:row r="210">
      <x:c r="A210" t="str">
        <x:v>Alif Traders</x:v>
      </x:c>
      <x:c r="B210" t="str">
        <x:v>NA/0323/26-27</x:v>
      </x:c>
      <x:c r="C210" s="6" t="n">
        <x:v>46137</x:v>
      </x:c>
      <x:c r="D210" s="7" t="n">
        <x:v>1180</x:v>
      </x:c>
      <x:c r="E210" s="6" t="n">
        <x:v>46137</x:v>
      </x:c>
      <x:c r="F210" t="n">
        <x:f>TODAY()-E210</x:f>
        <x:v>98</x:v>
      </x:c>
      <x:c r="G210" s="7" t="n">
        <x:f>SUMIF($A$5:$A$563,A210,$D$5:$D$563)</x:f>
        <x:v>119404</x:v>
      </x:c>
    </x:row>
    <x:row r="211">
      <x:c r="A211" t="str">
        <x:v>Alif Traders</x:v>
      </x:c>
      <x:c r="B211" t="str">
        <x:v>NA/0613/26-27</x:v>
      </x:c>
      <x:c r="C211" s="6" t="n">
        <x:v>46158</x:v>
      </x:c>
      <x:c r="D211" s="7" t="n">
        <x:v>795</x:v>
      </x:c>
      <x:c r="E211" s="6" t="n">
        <x:v>46158</x:v>
      </x:c>
      <x:c r="F211" t="n">
        <x:f>TODAY()-E211</x:f>
        <x:v>77</x:v>
      </x:c>
      <x:c r="G211" s="7" t="n">
        <x:f>SUMIF($A$5:$A$563,A211,$D$5:$D$563)</x:f>
        <x:v>119404</x:v>
      </x:c>
    </x:row>
    <x:row r="212">
      <x:c r="A212" t="str">
        <x:v>Alif Traders</x:v>
      </x:c>
      <x:c r="B212" t="str">
        <x:v>NA/0830/26-27</x:v>
      </x:c>
      <x:c r="C212" s="6" t="n">
        <x:v>46172</x:v>
      </x:c>
      <x:c r="D212" s="7" t="n">
        <x:v>13500</x:v>
      </x:c>
      <x:c r="E212" s="6" t="n">
        <x:v>46172</x:v>
      </x:c>
      <x:c r="F212" t="n">
        <x:f>TODAY()-E212</x:f>
        <x:v>63</x:v>
      </x:c>
      <x:c r="G212" s="7" t="n">
        <x:f>SUMIF($A$5:$A$563,A212,$D$5:$D$563)</x:f>
        <x:v>119404</x:v>
      </x:c>
    </x:row>
    <x:row r="213">
      <x:c r="A213" t="str">
        <x:v>Alif Traders</x:v>
      </x:c>
      <x:c r="B213" t="str">
        <x:v>NA/0966/26-27</x:v>
      </x:c>
      <x:c r="C213" s="6" t="n">
        <x:v>46179</x:v>
      </x:c>
      <x:c r="D213" s="7" t="n">
        <x:v>1075</x:v>
      </x:c>
      <x:c r="E213" s="6" t="n">
        <x:v>46179</x:v>
      </x:c>
      <x:c r="F213" t="n">
        <x:f>TODAY()-E213</x:f>
        <x:v>56</x:v>
      </x:c>
      <x:c r="G213" s="7" t="n">
        <x:f>SUMIF($A$5:$A$563,A213,$D$5:$D$563)</x:f>
        <x:v>119404</x:v>
      </x:c>
    </x:row>
    <x:row r="214">
      <x:c r="A214" t="str">
        <x:v>Alif Traders</x:v>
      </x:c>
      <x:c r="B214" t="str">
        <x:v>NA/1340/26-27</x:v>
      </x:c>
      <x:c r="C214" s="6" t="n">
        <x:v>46206</x:v>
      </x:c>
      <x:c r="D214" s="7" t="n">
        <x:v>32400</x:v>
      </x:c>
      <x:c r="E214" s="6" t="n">
        <x:v>46206</x:v>
      </x:c>
      <x:c r="F214" t="n">
        <x:f>TODAY()-E214</x:f>
        <x:v>29</x:v>
      </x:c>
      <x:c r="G214" s="7" t="n">
        <x:f>SUMIF($A$5:$A$563,A214,$D$5:$D$563)</x:f>
        <x:v>119404</x:v>
      </x:c>
    </x:row>
    <x:row r="215">
      <x:c r="A215" t="str">
        <x:v>Alif Traders</x:v>
      </x:c>
      <x:c r="B215" t="str">
        <x:v>NA/1638/26-27</x:v>
      </x:c>
      <x:c r="C215" s="6" t="n">
        <x:v>46221</x:v>
      </x:c>
      <x:c r="D215" s="7" t="n">
        <x:v>795</x:v>
      </x:c>
      <x:c r="E215" s="6" t="n">
        <x:v>46221</x:v>
      </x:c>
      <x:c r="F215" t="n">
        <x:f>TODAY()-E215</x:f>
        <x:v>14</x:v>
      </x:c>
      <x:c r="G215" s="7" t="n">
        <x:f>SUMIF($A$5:$A$563,A215,$D$5:$D$563)</x:f>
        <x:v>119404</x:v>
      </x:c>
    </x:row>
    <x:row r="216">
      <x:c r="A216" t="str">
        <x:v>Alif Traders</x:v>
      </x:c>
      <x:c r="B216" t="str">
        <x:v>NA/1812/26-27</x:v>
      </x:c>
      <x:c r="C216" s="6" t="n">
        <x:v>46230</x:v>
      </x:c>
      <x:c r="D216" s="7" t="n">
        <x:v>7950</x:v>
      </x:c>
      <x:c r="E216" s="6" t="n">
        <x:v>46230</x:v>
      </x:c>
      <x:c r="F216" t="n">
        <x:f>TODAY()-E216</x:f>
        <x:v>5</x:v>
      </x:c>
      <x:c r="G216" s="7" t="n">
        <x:f>SUMIF($A$5:$A$563,A216,$D$5:$D$563)</x:f>
        <x:v>119404</x:v>
      </x:c>
    </x:row>
    <x:row r="217">
      <x:c r="A217" t="str">
        <x:v>Alif Traders</x:v>
      </x:c>
      <x:c r="B217" t="str">
        <x:v>NA/1897/26-27</x:v>
      </x:c>
      <x:c r="C217" s="6" t="n">
        <x:v>46235</x:v>
      </x:c>
      <x:c r="D217" s="7" t="n">
        <x:v>3780</x:v>
      </x:c>
      <x:c r="E217" s="6" t="n">
        <x:v>46235</x:v>
      </x:c>
      <x:c r="F217" t="n">
        <x:f>TODAY()-E217</x:f>
        <x:v>0</x:v>
      </x:c>
      <x:c r="G217" s="7" t="n">
        <x:f>SUMIF($A$5:$A$563,A217,$D$5:$D$563)</x:f>
        <x:v>119404</x:v>
      </x:c>
    </x:row>
    <x:row r="218">
      <x:c r="A218" t="str">
        <x:v>SHABIS ENTERPRISES</x:v>
      </x:c>
      <x:c r="B218" t="str">
        <x:v>NA/5599/25-26</x:v>
      </x:c>
      <x:c r="C218" s="6" t="n">
        <x:v>46104</x:v>
      </x:c>
      <x:c r="D218" s="7" t="n">
        <x:v>7800</x:v>
      </x:c>
      <x:c r="E218" s="6" t="n">
        <x:v>46104</x:v>
      </x:c>
      <x:c r="F218" t="n">
        <x:f>TODAY()-E218</x:f>
        <x:v>131</x:v>
      </x:c>
      <x:c r="G218" s="7" t="n">
        <x:f>SUMIF($A$5:$A$563,A218,$D$5:$D$563)</x:f>
        <x:v>7800</x:v>
      </x:c>
    </x:row>
    <x:row r="219">
      <x:c r="A219" t="str">
        <x:v>Sekar Engineering Works</x:v>
      </x:c>
      <x:c r="B219" t="str">
        <x:v>NA/5685/25-26</x:v>
      </x:c>
      <x:c r="C219" s="6" t="n">
        <x:v>46109</x:v>
      </x:c>
      <x:c r="D219" s="7" t="n">
        <x:v>8353</x:v>
      </x:c>
      <x:c r="E219" s="6" t="n">
        <x:v>46109</x:v>
      </x:c>
      <x:c r="F219" t="n">
        <x:f>TODAY()-E219</x:f>
        <x:v>126</x:v>
      </x:c>
      <x:c r="G219" s="7" t="n">
        <x:f>SUMIF($A$5:$A$563,A219,$D$5:$D$563)</x:f>
        <x:v>16423</x:v>
      </x:c>
    </x:row>
    <x:row r="220">
      <x:c r="A220" t="str">
        <x:v>Sekar Engineering Works</x:v>
      </x:c>
      <x:c r="B220" t="str">
        <x:v>NA/0849/26-27</x:v>
      </x:c>
      <x:c r="C220" s="6" t="n">
        <x:v>46172</x:v>
      </x:c>
      <x:c r="D220" s="7" t="n">
        <x:v>1749</x:v>
      </x:c>
      <x:c r="E220" s="6" t="n">
        <x:v>46172</x:v>
      </x:c>
      <x:c r="F220" t="n">
        <x:f>TODAY()-E220</x:f>
        <x:v>63</x:v>
      </x:c>
      <x:c r="G220" s="7" t="n">
        <x:f>SUMIF($A$5:$A$563,A220,$D$5:$D$563)</x:f>
        <x:v>16423</x:v>
      </x:c>
    </x:row>
    <x:row r="221">
      <x:c r="A221" t="str">
        <x:v>Sekar Engineering Works</x:v>
      </x:c>
      <x:c r="B221" t="str">
        <x:v>NA/0980/26-27</x:v>
      </x:c>
      <x:c r="C221" s="6" t="n">
        <x:v>46179</x:v>
      </x:c>
      <x:c r="D221" s="7" t="n">
        <x:v>245</x:v>
      </x:c>
      <x:c r="E221" s="6" t="n">
        <x:v>46179</x:v>
      </x:c>
      <x:c r="F221" t="n">
        <x:f>TODAY()-E221</x:f>
        <x:v>56</x:v>
      </x:c>
      <x:c r="G221" s="7" t="n">
        <x:f>SUMIF($A$5:$A$563,A221,$D$5:$D$563)</x:f>
        <x:v>16423</x:v>
      </x:c>
    </x:row>
    <x:row r="222">
      <x:c r="A222" t="str">
        <x:v>Sekar Engineering Works</x:v>
      </x:c>
      <x:c r="B222" t="str">
        <x:v>NA/1234/26-27</x:v>
      </x:c>
      <x:c r="C222" s="6" t="n">
        <x:v>46200</x:v>
      </x:c>
      <x:c r="D222" s="7" t="n">
        <x:v>6076</x:v>
      </x:c>
      <x:c r="E222" s="6" t="n">
        <x:v>46200</x:v>
      </x:c>
      <x:c r="F222" t="n">
        <x:f>TODAY()-E222</x:f>
        <x:v>35</x:v>
      </x:c>
      <x:c r="G222" s="7" t="n">
        <x:f>SUMIF($A$5:$A$563,A222,$D$5:$D$563)</x:f>
        <x:v>16423</x:v>
      </x:c>
    </x:row>
    <x:row r="223">
      <x:c r="A223" t="str">
        <x:v>South Coast Enterprises</x:v>
      </x:c>
      <x:c r="B223" t="str">
        <x:v>NA/5701/25-26</x:v>
      </x:c>
      <x:c r="C223" s="6" t="n">
        <x:v>46109</x:v>
      </x:c>
      <x:c r="D223" s="7" t="n">
        <x:v>962</x:v>
      </x:c>
      <x:c r="E223" s="6" t="n">
        <x:v>46109</x:v>
      </x:c>
      <x:c r="F223" t="n">
        <x:f>TODAY()-E223</x:f>
        <x:v>126</x:v>
      </x:c>
      <x:c r="G223" s="7" t="n">
        <x:f>SUMIF($A$5:$A$563,A223,$D$5:$D$563)</x:f>
        <x:v>14037</x:v>
      </x:c>
    </x:row>
    <x:row r="224">
      <x:c r="A224" t="str">
        <x:v>South Coast Enterprises</x:v>
      </x:c>
      <x:c r="B224" t="str">
        <x:v>NA/0065/26-27</x:v>
      </x:c>
      <x:c r="C224" s="6" t="n">
        <x:v>46116</x:v>
      </x:c>
      <x:c r="D224" s="7" t="n">
        <x:v>800</x:v>
      </x:c>
      <x:c r="E224" s="6" t="n">
        <x:v>46116</x:v>
      </x:c>
      <x:c r="F224" t="n">
        <x:f>TODAY()-E224</x:f>
        <x:v>119</x:v>
      </x:c>
      <x:c r="G224" s="7" t="n">
        <x:f>SUMIF($A$5:$A$563,A224,$D$5:$D$563)</x:f>
        <x:v>14037</x:v>
      </x:c>
    </x:row>
    <x:row r="225">
      <x:c r="A225" t="str">
        <x:v>South Coast Enterprises</x:v>
      </x:c>
      <x:c r="B225" t="str">
        <x:v>NA/0329/26-27</x:v>
      </x:c>
      <x:c r="C225" s="6" t="n">
        <x:v>46137</x:v>
      </x:c>
      <x:c r="D225" s="7" t="n">
        <x:v>250</x:v>
      </x:c>
      <x:c r="E225" s="6" t="n">
        <x:v>46137</x:v>
      </x:c>
      <x:c r="F225" t="n">
        <x:f>TODAY()-E225</x:f>
        <x:v>98</x:v>
      </x:c>
      <x:c r="G225" s="7" t="n">
        <x:f>SUMIF($A$5:$A$563,A225,$D$5:$D$563)</x:f>
        <x:v>14037</x:v>
      </x:c>
    </x:row>
    <x:row r="226">
      <x:c r="A226" t="str">
        <x:v>South Coast Enterprises</x:v>
      </x:c>
      <x:c r="B226" t="str">
        <x:v>NA/0410/26-27</x:v>
      </x:c>
      <x:c r="C226" s="6" t="n">
        <x:v>46144</x:v>
      </x:c>
      <x:c r="D226" s="7" t="n">
        <x:v>765</x:v>
      </x:c>
      <x:c r="E226" s="6" t="n">
        <x:v>46144</x:v>
      </x:c>
      <x:c r="F226" t="n">
        <x:f>TODAY()-E226</x:f>
        <x:v>91</x:v>
      </x:c>
      <x:c r="G226" s="7" t="n">
        <x:f>SUMIF($A$5:$A$563,A226,$D$5:$D$563)</x:f>
        <x:v>14037</x:v>
      </x:c>
    </x:row>
    <x:row r="227">
      <x:c r="A227" t="str">
        <x:v>South Coast Enterprises</x:v>
      </x:c>
      <x:c r="B227" t="str">
        <x:v>NA/0732/26-27</x:v>
      </x:c>
      <x:c r="C227" s="6" t="n">
        <x:v>46165</x:v>
      </x:c>
      <x:c r="D227" s="7" t="n">
        <x:v>721</x:v>
      </x:c>
      <x:c r="E227" s="6" t="n">
        <x:v>46165</x:v>
      </x:c>
      <x:c r="F227" t="n">
        <x:f>TODAY()-E227</x:f>
        <x:v>70</x:v>
      </x:c>
      <x:c r="G227" s="7" t="n">
        <x:f>SUMIF($A$5:$A$563,A227,$D$5:$D$563)</x:f>
        <x:v>14037</x:v>
      </x:c>
    </x:row>
    <x:row r="228">
      <x:c r="A228" t="str">
        <x:v>South Coast Enterprises</x:v>
      </x:c>
      <x:c r="B228" t="str">
        <x:v>NA/1248/26-27</x:v>
      </x:c>
      <x:c r="C228" s="6" t="n">
        <x:v>46200</x:v>
      </x:c>
      <x:c r="D228" s="7" t="n">
        <x:v>626</x:v>
      </x:c>
      <x:c r="E228" s="6" t="n">
        <x:v>46200</x:v>
      </x:c>
      <x:c r="F228" t="n">
        <x:f>TODAY()-E228</x:f>
        <x:v>35</x:v>
      </x:c>
      <x:c r="G228" s="7" t="n">
        <x:f>SUMIF($A$5:$A$563,A228,$D$5:$D$563)</x:f>
        <x:v>14037</x:v>
      </x:c>
    </x:row>
    <x:row r="229">
      <x:c r="A229" t="str">
        <x:v>South Coast Enterprises</x:v>
      </x:c>
      <x:c r="B229" t="str">
        <x:v>NA/1598/26-27</x:v>
      </x:c>
      <x:c r="C229" s="6" t="n">
        <x:v>46219</x:v>
      </x:c>
      <x:c r="D229" s="7" t="n">
        <x:v>5573</x:v>
      </x:c>
      <x:c r="E229" s="6" t="n">
        <x:v>46219</x:v>
      </x:c>
      <x:c r="F229" t="n">
        <x:f>TODAY()-E229</x:f>
        <x:v>16</x:v>
      </x:c>
      <x:c r="G229" s="7" t="n">
        <x:f>SUMIF($A$5:$A$563,A229,$D$5:$D$563)</x:f>
        <x:v>14037</x:v>
      </x:c>
    </x:row>
    <x:row r="230">
      <x:c r="A230" t="str">
        <x:v>South Coast Enterprises</x:v>
      </x:c>
      <x:c r="B230" t="str">
        <x:v>NA/1640/26-27</x:v>
      </x:c>
      <x:c r="C230" s="6" t="n">
        <x:v>46221</x:v>
      </x:c>
      <x:c r="D230" s="7" t="n">
        <x:v>1500</x:v>
      </x:c>
      <x:c r="E230" s="6" t="n">
        <x:v>46221</x:v>
      </x:c>
      <x:c r="F230" t="n">
        <x:f>TODAY()-E230</x:f>
        <x:v>14</x:v>
      </x:c>
      <x:c r="G230" s="7" t="n">
        <x:f>SUMIF($A$5:$A$563,A230,$D$5:$D$563)</x:f>
        <x:v>14037</x:v>
      </x:c>
    </x:row>
    <x:row r="231">
      <x:c r="A231" t="str">
        <x:v>South Coast Enterprises</x:v>
      </x:c>
      <x:c r="B231" t="str">
        <x:v>NA/1769/26-27</x:v>
      </x:c>
      <x:c r="C231" s="6" t="n">
        <x:v>46228</x:v>
      </x:c>
      <x:c r="D231" s="7" t="n">
        <x:v>680</x:v>
      </x:c>
      <x:c r="E231" s="6" t="n">
        <x:v>46228</x:v>
      </x:c>
      <x:c r="F231" t="n">
        <x:f>TODAY()-E231</x:f>
        <x:v>7</x:v>
      </x:c>
      <x:c r="G231" s="7" t="n">
        <x:f>SUMIF($A$5:$A$563,A231,$D$5:$D$563)</x:f>
        <x:v>14037</x:v>
      </x:c>
    </x:row>
    <x:row r="232">
      <x:c r="A232" t="str">
        <x:v>South Coast Enterprises</x:v>
      </x:c>
      <x:c r="B232" t="str">
        <x:v>NA/1884/26-27</x:v>
      </x:c>
      <x:c r="C232" s="6" t="n">
        <x:v>46235</x:v>
      </x:c>
      <x:c r="D232" s="7" t="n">
        <x:v>2160</x:v>
      </x:c>
      <x:c r="E232" s="6" t="n">
        <x:v>46235</x:v>
      </x:c>
      <x:c r="F232" t="n">
        <x:f>TODAY()-E232</x:f>
        <x:v>0</x:v>
      </x:c>
      <x:c r="G232" s="7" t="n">
        <x:f>SUMIF($A$5:$A$563,A232,$D$5:$D$563)</x:f>
        <x:v>14037</x:v>
      </x:c>
    </x:row>
    <x:row r="233">
      <x:c r="A233" t="str">
        <x:v>Noor Traders</x:v>
      </x:c>
      <x:c r="B233" t="str">
        <x:v>NA/0001/26-27</x:v>
      </x:c>
      <x:c r="C233" s="6" t="n">
        <x:v>46113</x:v>
      </x:c>
      <x:c r="D233" s="7" t="n">
        <x:v>34668</x:v>
      </x:c>
      <x:c r="E233" s="6" t="n">
        <x:v>46113</x:v>
      </x:c>
      <x:c r="F233" t="n">
        <x:f>TODAY()-E233</x:f>
        <x:v>122</x:v>
      </x:c>
      <x:c r="G233" s="7" t="n">
        <x:f>SUMIF($A$5:$A$563,A233,$D$5:$D$563)</x:f>
        <x:v>108563</x:v>
      </x:c>
    </x:row>
    <x:row r="234">
      <x:c r="A234" t="str">
        <x:v>Noor Traders</x:v>
      </x:c>
      <x:c r="B234" t="str">
        <x:v>NA/0508/26-27</x:v>
      </x:c>
      <x:c r="C234" s="6" t="n">
        <x:v>46151</x:v>
      </x:c>
      <x:c r="D234" s="7" t="n">
        <x:v>23296</x:v>
      </x:c>
      <x:c r="E234" s="6" t="n">
        <x:v>46151</x:v>
      </x:c>
      <x:c r="F234" t="n">
        <x:f>TODAY()-E234</x:f>
        <x:v>84</x:v>
      </x:c>
      <x:c r="G234" s="7" t="n">
        <x:f>SUMIF($A$5:$A$563,A234,$D$5:$D$563)</x:f>
        <x:v>108563</x:v>
      </x:c>
    </x:row>
    <x:row r="235">
      <x:c r="A235" t="str">
        <x:v>Noor Traders</x:v>
      </x:c>
      <x:c r="B235" t="str">
        <x:v>NA/0842/26-27</x:v>
      </x:c>
      <x:c r="C235" s="6" t="n">
        <x:v>46172</x:v>
      </x:c>
      <x:c r="D235" s="7" t="n">
        <x:v>20670</x:v>
      </x:c>
      <x:c r="E235" s="6" t="n">
        <x:v>46172</x:v>
      </x:c>
      <x:c r="F235" t="n">
        <x:f>TODAY()-E235</x:f>
        <x:v>63</x:v>
      </x:c>
      <x:c r="G235" s="7" t="n">
        <x:f>SUMIF($A$5:$A$563,A235,$D$5:$D$563)</x:f>
        <x:v>108563</x:v>
      </x:c>
    </x:row>
    <x:row r="236">
      <x:c r="A236" t="str">
        <x:v>Noor Traders</x:v>
      </x:c>
      <x:c r="B236" t="str">
        <x:v>NA/0851/26-27</x:v>
      </x:c>
      <x:c r="C236" s="6" t="n">
        <x:v>46172</x:v>
      </x:c>
      <x:c r="D236" s="7" t="n">
        <x:v>11800</x:v>
      </x:c>
      <x:c r="E236" s="6" t="n">
        <x:v>46172</x:v>
      </x:c>
      <x:c r="F236" t="n">
        <x:f>TODAY()-E236</x:f>
        <x:v>63</x:v>
      </x:c>
      <x:c r="G236" s="7" t="n">
        <x:f>SUMIF($A$5:$A$563,A236,$D$5:$D$563)</x:f>
        <x:v>108563</x:v>
      </x:c>
    </x:row>
    <x:row r="237">
      <x:c r="A237" t="str">
        <x:v>Noor Traders</x:v>
      </x:c>
      <x:c r="B237" t="str">
        <x:v>NA/1454/26-27</x:v>
      </x:c>
      <x:c r="C237" s="6" t="n">
        <x:v>46212</x:v>
      </x:c>
      <x:c r="D237" s="7" t="n">
        <x:v>18129</x:v>
      </x:c>
      <x:c r="E237" s="6" t="n">
        <x:v>46212</x:v>
      </x:c>
      <x:c r="F237" t="n">
        <x:f>TODAY()-E237</x:f>
        <x:v>23</x:v>
      </x:c>
      <x:c r="G237" s="7" t="n">
        <x:f>SUMIF($A$5:$A$563,A237,$D$5:$D$563)</x:f>
        <x:v>108563</x:v>
      </x:c>
    </x:row>
    <x:row r="238">
      <x:c r="A238" t="str">
        <x:v>Associated Hardware &amp; Tools Corporation</x:v>
      </x:c>
      <x:c r="B238" t="str">
        <x:v>NA/0020/26-27</x:v>
      </x:c>
      <x:c r="C238" s="6" t="n">
        <x:v>46114</x:v>
      </x:c>
      <x:c r="D238" s="7" t="n">
        <x:v>12600</x:v>
      </x:c>
      <x:c r="E238" s="6" t="n">
        <x:v>46114</x:v>
      </x:c>
      <x:c r="F238" t="n">
        <x:f>TODAY()-E238</x:f>
        <x:v>121</x:v>
      </x:c>
      <x:c r="G238" s="7" t="n">
        <x:f>SUMIF($A$5:$A$563,A238,$D$5:$D$563)</x:f>
        <x:v>41253</x:v>
      </x:c>
    </x:row>
    <x:row r="239">
      <x:c r="A239" t="str">
        <x:v>Associated Hardware &amp; Tools Corporation</x:v>
      </x:c>
      <x:c r="B239" t="str">
        <x:v>NA/0185/26-27</x:v>
      </x:c>
      <x:c r="C239" s="6" t="n">
        <x:v>46125</x:v>
      </x:c>
      <x:c r="D239" s="7" t="n">
        <x:v>4200</x:v>
      </x:c>
      <x:c r="E239" s="6" t="n">
        <x:v>46125</x:v>
      </x:c>
      <x:c r="F239" t="n">
        <x:f>TODAY()-E239</x:f>
        <x:v>110</x:v>
      </x:c>
      <x:c r="G239" s="7" t="n">
        <x:f>SUMIF($A$5:$A$563,A239,$D$5:$D$563)</x:f>
        <x:v>41253</x:v>
      </x:c>
    </x:row>
    <x:row r="240">
      <x:c r="A240" t="str">
        <x:v>Associated Hardware &amp; Tools Corporation</x:v>
      </x:c>
      <x:c r="B240" t="str">
        <x:v>NA/0194/26-27</x:v>
      </x:c>
      <x:c r="C240" s="6" t="n">
        <x:v>46125</x:v>
      </x:c>
      <x:c r="D240" s="7" t="n">
        <x:v>4200</x:v>
      </x:c>
      <x:c r="E240" s="6" t="n">
        <x:v>46125</x:v>
      </x:c>
      <x:c r="F240" t="n">
        <x:f>TODAY()-E240</x:f>
        <x:v>110</x:v>
      </x:c>
      <x:c r="G240" s="7" t="n">
        <x:f>SUMIF($A$5:$A$563,A240,$D$5:$D$563)</x:f>
        <x:v>41253</x:v>
      </x:c>
    </x:row>
    <x:row r="241">
      <x:c r="A241" t="str">
        <x:v>Associated Hardware &amp; Tools Corporation</x:v>
      </x:c>
      <x:c r="B241" t="str">
        <x:v>NA/0203/26-27</x:v>
      </x:c>
      <x:c r="C241" s="6" t="n">
        <x:v>46127</x:v>
      </x:c>
      <x:c r="D241" s="7" t="n">
        <x:v>180</x:v>
      </x:c>
      <x:c r="E241" s="6" t="n">
        <x:v>46127</x:v>
      </x:c>
      <x:c r="F241" t="n">
        <x:f>TODAY()-E241</x:f>
        <x:v>108</x:v>
      </x:c>
      <x:c r="G241" s="7" t="n">
        <x:f>SUMIF($A$5:$A$563,A241,$D$5:$D$563)</x:f>
        <x:v>41253</x:v>
      </x:c>
    </x:row>
    <x:row r="242">
      <x:c r="A242" t="str">
        <x:v>Associated Hardware &amp; Tools Corporation</x:v>
      </x:c>
      <x:c r="B242" t="str">
        <x:v>NA/0212/26-27</x:v>
      </x:c>
      <x:c r="C242" s="6" t="n">
        <x:v>46127</x:v>
      </x:c>
      <x:c r="D242" s="7" t="n">
        <x:v>12600</x:v>
      </x:c>
      <x:c r="E242" s="6" t="n">
        <x:v>46127</x:v>
      </x:c>
      <x:c r="F242" t="n">
        <x:f>TODAY()-E242</x:f>
        <x:v>108</x:v>
      </x:c>
      <x:c r="G242" s="7" t="n">
        <x:f>SUMIF($A$5:$A$563,A242,$D$5:$D$563)</x:f>
        <x:v>41253</x:v>
      </x:c>
    </x:row>
    <x:row r="243">
      <x:c r="A243" t="str">
        <x:v>Associated Hardware &amp; Tools Corporation</x:v>
      </x:c>
      <x:c r="B243" t="str">
        <x:v>NA/0217/26-27</x:v>
      </x:c>
      <x:c r="C243" s="6" t="n">
        <x:v>46128</x:v>
      </x:c>
      <x:c r="D243" s="7" t="n">
        <x:v>473</x:v>
      </x:c>
      <x:c r="E243" s="6" t="n">
        <x:v>46128</x:v>
      </x:c>
      <x:c r="F243" t="n">
        <x:f>TODAY()-E243</x:f>
        <x:v>107</x:v>
      </x:c>
      <x:c r="G243" s="7" t="n">
        <x:f>SUMIF($A$5:$A$563,A243,$D$5:$D$563)</x:f>
        <x:v>41253</x:v>
      </x:c>
    </x:row>
    <x:row r="244">
      <x:c r="A244" t="str">
        <x:v>Associated Hardware &amp; Tools Corporation</x:v>
      </x:c>
      <x:c r="B244" t="str">
        <x:v>NA/1243/26-27</x:v>
      </x:c>
      <x:c r="C244" s="6" t="n">
        <x:v>46200</x:v>
      </x:c>
      <x:c r="D244" s="7" t="n">
        <x:v>7000</x:v>
      </x:c>
      <x:c r="E244" s="6" t="n">
        <x:v>46200</x:v>
      </x:c>
      <x:c r="F244" t="n">
        <x:f>TODAY()-E244</x:f>
        <x:v>35</x:v>
      </x:c>
      <x:c r="G244" s="7" t="n">
        <x:f>SUMIF($A$5:$A$563,A244,$D$5:$D$563)</x:f>
        <x:v>41253</x:v>
      </x:c>
    </x:row>
    <x:row r="245">
      <x:c r="A245" t="str">
        <x:v>Auto Mech Tools</x:v>
      </x:c>
      <x:c r="B245" t="str">
        <x:v>NA/0051/26-27</x:v>
      </x:c>
      <x:c r="C245" s="6" t="n">
        <x:v>46116</x:v>
      </x:c>
      <x:c r="D245" s="7" t="n">
        <x:v>933</x:v>
      </x:c>
      <x:c r="E245" s="6" t="n">
        <x:v>46116</x:v>
      </x:c>
      <x:c r="F245" t="n">
        <x:f>TODAY()-E245</x:f>
        <x:v>119</x:v>
      </x:c>
      <x:c r="G245" s="7" t="n">
        <x:f>SUMIF($A$5:$A$563,A245,$D$5:$D$563)</x:f>
        <x:v>92608</x:v>
      </x:c>
    </x:row>
    <x:row r="246">
      <x:c r="A246" t="str">
        <x:v>Auto Mech Tools</x:v>
      </x:c>
      <x:c r="B246" t="str">
        <x:v>NA/0151/26-27</x:v>
      </x:c>
      <x:c r="C246" s="6" t="n">
        <x:v>46122</x:v>
      </x:c>
      <x:c r="D246" s="7" t="n">
        <x:v>14318</x:v>
      </x:c>
      <x:c r="E246" s="6" t="n">
        <x:v>46122</x:v>
      </x:c>
      <x:c r="F246" t="n">
        <x:f>TODAY()-E246</x:f>
        <x:v>113</x:v>
      </x:c>
      <x:c r="G246" s="7" t="n">
        <x:f>SUMIF($A$5:$A$563,A246,$D$5:$D$563)</x:f>
        <x:v>92608</x:v>
      </x:c>
    </x:row>
    <x:row r="247">
      <x:c r="A247" t="str">
        <x:v>Auto Mech Tools</x:v>
      </x:c>
      <x:c r="B247" t="str">
        <x:v>NA/0330/26-27</x:v>
      </x:c>
      <x:c r="C247" s="6" t="n">
        <x:v>46137</x:v>
      </x:c>
      <x:c r="D247" s="7" t="n">
        <x:v>449</x:v>
      </x:c>
      <x:c r="E247" s="6" t="n">
        <x:v>46137</x:v>
      </x:c>
      <x:c r="F247" t="n">
        <x:f>TODAY()-E247</x:f>
        <x:v>98</x:v>
      </x:c>
      <x:c r="G247" s="7" t="n">
        <x:f>SUMIF($A$5:$A$563,A247,$D$5:$D$563)</x:f>
        <x:v>92608</x:v>
      </x:c>
    </x:row>
    <x:row r="248">
      <x:c r="A248" t="str">
        <x:v>Auto Mech Tools</x:v>
      </x:c>
      <x:c r="B248" t="str">
        <x:v>NA/0412/26-27</x:v>
      </x:c>
      <x:c r="C248" s="6" t="n">
        <x:v>46144</x:v>
      </x:c>
      <x:c r="D248" s="7" t="n">
        <x:v>2260</x:v>
      </x:c>
      <x:c r="E248" s="6" t="n">
        <x:v>46144</x:v>
      </x:c>
      <x:c r="F248" t="n">
        <x:f>TODAY()-E248</x:f>
        <x:v>91</x:v>
      </x:c>
      <x:c r="G248" s="7" t="n">
        <x:f>SUMIF($A$5:$A$563,A248,$D$5:$D$563)</x:f>
        <x:v>92608</x:v>
      </x:c>
    </x:row>
    <x:row r="249">
      <x:c r="A249" t="str">
        <x:v>Auto Mech Tools</x:v>
      </x:c>
      <x:c r="B249" t="str">
        <x:v>NA/0419/26-27</x:v>
      </x:c>
      <x:c r="C249" s="6" t="n">
        <x:v>46144</x:v>
      </x:c>
      <x:c r="D249" s="7" t="n">
        <x:v>7300</x:v>
      </x:c>
      <x:c r="E249" s="6" t="n">
        <x:v>46144</x:v>
      </x:c>
      <x:c r="F249" t="n">
        <x:f>TODAY()-E249</x:f>
        <x:v>91</x:v>
      </x:c>
      <x:c r="G249" s="7" t="n">
        <x:f>SUMIF($A$5:$A$563,A249,$D$5:$D$563)</x:f>
        <x:v>92608</x:v>
      </x:c>
    </x:row>
    <x:row r="250">
      <x:c r="A250" t="str">
        <x:v>Auto Mech Tools</x:v>
      </x:c>
      <x:c r="B250" t="str">
        <x:v>NA/0617/26-27</x:v>
      </x:c>
      <x:c r="C250" s="6" t="n">
        <x:v>46158</x:v>
      </x:c>
      <x:c r="D250" s="7" t="n">
        <x:v>6826</x:v>
      </x:c>
      <x:c r="E250" s="6" t="n">
        <x:v>46158</x:v>
      </x:c>
      <x:c r="F250" t="n">
        <x:f>TODAY()-E250</x:f>
        <x:v>77</x:v>
      </x:c>
      <x:c r="G250" s="7" t="n">
        <x:f>SUMIF($A$5:$A$563,A250,$D$5:$D$563)</x:f>
        <x:v>92608</x:v>
      </x:c>
    </x:row>
    <x:row r="251">
      <x:c r="A251" t="str">
        <x:v>Auto Mech Tools</x:v>
      </x:c>
      <x:c r="B251" t="str">
        <x:v>NA/0730/26-27</x:v>
      </x:c>
      <x:c r="C251" s="6" t="n">
        <x:v>46165</x:v>
      </x:c>
      <x:c r="D251" s="7" t="n">
        <x:v>7504</x:v>
      </x:c>
      <x:c r="E251" s="6" t="n">
        <x:v>46165</x:v>
      </x:c>
      <x:c r="F251" t="n">
        <x:f>TODAY()-E251</x:f>
        <x:v>70</x:v>
      </x:c>
      <x:c r="G251" s="7" t="n">
        <x:f>SUMIF($A$5:$A$563,A251,$D$5:$D$563)</x:f>
        <x:v>92608</x:v>
      </x:c>
    </x:row>
    <x:row r="252">
      <x:c r="A252" t="str">
        <x:v>Auto Mech Tools</x:v>
      </x:c>
      <x:c r="B252" t="str">
        <x:v>NA/0749/26-27</x:v>
      </x:c>
      <x:c r="C252" s="6" t="n">
        <x:v>46165</x:v>
      </x:c>
      <x:c r="D252" s="7" t="n">
        <x:v>7637</x:v>
      </x:c>
      <x:c r="E252" s="6" t="n">
        <x:v>46165</x:v>
      </x:c>
      <x:c r="F252" t="n">
        <x:f>TODAY()-E252</x:f>
        <x:v>70</x:v>
      </x:c>
      <x:c r="G252" s="7" t="n">
        <x:f>SUMIF($A$5:$A$563,A252,$D$5:$D$563)</x:f>
        <x:v>92608</x:v>
      </x:c>
    </x:row>
    <x:row r="253">
      <x:c r="A253" t="str">
        <x:v>Auto Mech Tools</x:v>
      </x:c>
      <x:c r="B253" t="str">
        <x:v>NA/0959/26-27</x:v>
      </x:c>
      <x:c r="C253" s="6" t="n">
        <x:v>46179</x:v>
      </x:c>
      <x:c r="D253" s="7" t="n">
        <x:v>450</x:v>
      </x:c>
      <x:c r="E253" s="6" t="n">
        <x:v>46179</x:v>
      </x:c>
      <x:c r="F253" t="n">
        <x:f>TODAY()-E253</x:f>
        <x:v>56</x:v>
      </x:c>
      <x:c r="G253" s="7" t="n">
        <x:f>SUMIF($A$5:$A$563,A253,$D$5:$D$563)</x:f>
        <x:v>92608</x:v>
      </x:c>
    </x:row>
    <x:row r="254">
      <x:c r="A254" t="str">
        <x:v>Auto Mech Tools</x:v>
      </x:c>
      <x:c r="B254" t="str">
        <x:v>NA/0987/26-27</x:v>
      </x:c>
      <x:c r="C254" s="6" t="n">
        <x:v>46181</x:v>
      </x:c>
      <x:c r="D254" s="7" t="n">
        <x:v>7130</x:v>
      </x:c>
      <x:c r="E254" s="6" t="n">
        <x:v>46181</x:v>
      </x:c>
      <x:c r="F254" t="n">
        <x:f>TODAY()-E254</x:f>
        <x:v>54</x:v>
      </x:c>
      <x:c r="G254" s="7" t="n">
        <x:f>SUMIF($A$5:$A$563,A254,$D$5:$D$563)</x:f>
        <x:v>92608</x:v>
      </x:c>
    </x:row>
    <x:row r="255">
      <x:c r="A255" t="str">
        <x:v>Auto Mech Tools</x:v>
      </x:c>
      <x:c r="B255" t="str">
        <x:v>NA/1115/26-27</x:v>
      </x:c>
      <x:c r="C255" s="6" t="n">
        <x:v>46186</x:v>
      </x:c>
      <x:c r="D255" s="7" t="n">
        <x:v>4416</x:v>
      </x:c>
      <x:c r="E255" s="6" t="n">
        <x:v>46186</x:v>
      </x:c>
      <x:c r="F255" t="n">
        <x:f>TODAY()-E255</x:f>
        <x:v>49</x:v>
      </x:c>
      <x:c r="G255" s="7" t="n">
        <x:f>SUMIF($A$5:$A$563,A255,$D$5:$D$563)</x:f>
        <x:v>92608</x:v>
      </x:c>
    </x:row>
    <x:row r="256">
      <x:c r="A256" t="str">
        <x:v>Auto Mech Tools</x:v>
      </x:c>
      <x:c r="B256" t="str">
        <x:v>NA/1357/26-27</x:v>
      </x:c>
      <x:c r="C256" s="6" t="n">
        <x:v>46207</x:v>
      </x:c>
      <x:c r="D256" s="7" t="n">
        <x:v>20425</x:v>
      </x:c>
      <x:c r="E256" s="6" t="n">
        <x:v>46207</x:v>
      </x:c>
      <x:c r="F256" t="n">
        <x:f>TODAY()-E256</x:f>
        <x:v>28</x:v>
      </x:c>
      <x:c r="G256" s="7" t="n">
        <x:f>SUMIF($A$5:$A$563,A256,$D$5:$D$563)</x:f>
        <x:v>92608</x:v>
      </x:c>
    </x:row>
    <x:row r="257">
      <x:c r="A257" t="str">
        <x:v>Auto Mech Tools</x:v>
      </x:c>
      <x:c r="B257" t="str">
        <x:v>NA/1490/26-27</x:v>
      </x:c>
      <x:c r="C257" s="6" t="n">
        <x:v>46214</x:v>
      </x:c>
      <x:c r="D257" s="7" t="n">
        <x:v>1500</x:v>
      </x:c>
      <x:c r="E257" s="6" t="n">
        <x:v>46214</x:v>
      </x:c>
      <x:c r="F257" t="n">
        <x:f>TODAY()-E257</x:f>
        <x:v>21</x:v>
      </x:c>
      <x:c r="G257" s="7" t="n">
        <x:f>SUMIF($A$5:$A$563,A257,$D$5:$D$563)</x:f>
        <x:v>92608</x:v>
      </x:c>
    </x:row>
    <x:row r="258">
      <x:c r="A258" t="str">
        <x:v>Auto Mech Tools</x:v>
      </x:c>
      <x:c r="B258" t="str">
        <x:v>NA/1642/26-27</x:v>
      </x:c>
      <x:c r="C258" s="6" t="n">
        <x:v>46221</x:v>
      </x:c>
      <x:c r="D258" s="7" t="n">
        <x:v>11095</x:v>
      </x:c>
      <x:c r="E258" s="6" t="n">
        <x:v>46221</x:v>
      </x:c>
      <x:c r="F258" t="n">
        <x:f>TODAY()-E258</x:f>
        <x:v>14</x:v>
      </x:c>
      <x:c r="G258" s="7" t="n">
        <x:f>SUMIF($A$5:$A$563,A258,$D$5:$D$563)</x:f>
        <x:v>92608</x:v>
      </x:c>
    </x:row>
    <x:row r="259">
      <x:c r="A259" t="str">
        <x:v>Auto Mech Tools</x:v>
      </x:c>
      <x:c r="B259" t="str">
        <x:v>NA/1887/26-27</x:v>
      </x:c>
      <x:c r="C259" s="6" t="n">
        <x:v>46235</x:v>
      </x:c>
      <x:c r="D259" s="7" t="n">
        <x:v>365</x:v>
      </x:c>
      <x:c r="E259" s="6" t="n">
        <x:v>46235</x:v>
      </x:c>
      <x:c r="F259" t="n">
        <x:f>TODAY()-E259</x:f>
        <x:v>0</x:v>
      </x:c>
      <x:c r="G259" s="7" t="n">
        <x:f>SUMIF($A$5:$A$563,A259,$D$5:$D$563)</x:f>
        <x:v>92608</x:v>
      </x:c>
    </x:row>
    <x:row r="260">
      <x:c r="A260" t="str">
        <x:v>Evershine Enterprises</x:v>
      </x:c>
      <x:c r="B260" t="str">
        <x:v>NA/0063/26-27</x:v>
      </x:c>
      <x:c r="C260" s="6" t="n">
        <x:v>46116</x:v>
      </x:c>
      <x:c r="D260" s="7" t="n">
        <x:v>5316</x:v>
      </x:c>
      <x:c r="E260" s="6" t="n">
        <x:v>46116</x:v>
      </x:c>
      <x:c r="F260" t="n">
        <x:f>TODAY()-E260</x:f>
        <x:v>119</x:v>
      </x:c>
      <x:c r="G260" s="7" t="n">
        <x:f>SUMIF($A$5:$A$563,A260,$D$5:$D$563)</x:f>
        <x:v>53111</x:v>
      </x:c>
    </x:row>
    <x:row r="261">
      <x:c r="A261" t="str">
        <x:v>Evershine Enterprises</x:v>
      </x:c>
      <x:c r="B261" t="str">
        <x:v>NA/0306/26-27</x:v>
      </x:c>
      <x:c r="C261" s="6" t="n">
        <x:v>46136</x:v>
      </x:c>
      <x:c r="D261" s="7" t="n">
        <x:v>7296</x:v>
      </x:c>
      <x:c r="E261" s="6" t="n">
        <x:v>46136</x:v>
      </x:c>
      <x:c r="F261" t="n">
        <x:f>TODAY()-E261</x:f>
        <x:v>99</x:v>
      </x:c>
      <x:c r="G261" s="7" t="n">
        <x:f>SUMIF($A$5:$A$563,A261,$D$5:$D$563)</x:f>
        <x:v>53111</x:v>
      </x:c>
    </x:row>
    <x:row r="262">
      <x:c r="A262" t="str">
        <x:v>Evershine Enterprises</x:v>
      </x:c>
      <x:c r="B262" t="str">
        <x:v>NA/0371/26-27</x:v>
      </x:c>
      <x:c r="C262" s="6" t="n">
        <x:v>46141</x:v>
      </x:c>
      <x:c r="D262" s="7" t="n">
        <x:v>8832</x:v>
      </x:c>
      <x:c r="E262" s="6" t="n">
        <x:v>46141</x:v>
      </x:c>
      <x:c r="F262" t="n">
        <x:f>TODAY()-E262</x:f>
        <x:v>94</x:v>
      </x:c>
      <x:c r="G262" s="7" t="n">
        <x:f>SUMIF($A$5:$A$563,A262,$D$5:$D$563)</x:f>
        <x:v>53111</x:v>
      </x:c>
    </x:row>
    <x:row r="263">
      <x:c r="A263" t="str">
        <x:v>Evershine Enterprises</x:v>
      </x:c>
      <x:c r="B263" t="str">
        <x:v>NA/0471/26-27</x:v>
      </x:c>
      <x:c r="C263" s="6" t="n">
        <x:v>46149</x:v>
      </x:c>
      <x:c r="D263" s="7" t="n">
        <x:v>1138</x:v>
      </x:c>
      <x:c r="E263" s="6" t="n">
        <x:v>46149</x:v>
      </x:c>
      <x:c r="F263" t="n">
        <x:f>TODAY()-E263</x:f>
        <x:v>86</x:v>
      </x:c>
      <x:c r="G263" s="7" t="n">
        <x:f>SUMIF($A$5:$A$563,A263,$D$5:$D$563)</x:f>
        <x:v>53111</x:v>
      </x:c>
    </x:row>
    <x:row r="264">
      <x:c r="A264" t="str">
        <x:v>Evershine Enterprises</x:v>
      </x:c>
      <x:c r="B264" t="str">
        <x:v>NA/0503/26-27</x:v>
      </x:c>
      <x:c r="C264" s="6" t="n">
        <x:v>46151</x:v>
      </x:c>
      <x:c r="D264" s="7" t="n">
        <x:v>1559</x:v>
      </x:c>
      <x:c r="E264" s="6" t="n">
        <x:v>46151</x:v>
      </x:c>
      <x:c r="F264" t="n">
        <x:f>TODAY()-E264</x:f>
        <x:v>84</x:v>
      </x:c>
      <x:c r="G264" s="7" t="n">
        <x:f>SUMIF($A$5:$A$563,A264,$D$5:$D$563)</x:f>
        <x:v>53111</x:v>
      </x:c>
    </x:row>
    <x:row r="265">
      <x:c r="A265" t="str">
        <x:v>Evershine Enterprises</x:v>
      </x:c>
      <x:c r="B265" t="str">
        <x:v>NA/0606/26-27</x:v>
      </x:c>
      <x:c r="C265" s="6" t="n">
        <x:v>46158</x:v>
      </x:c>
      <x:c r="D265" s="7" t="n">
        <x:v>2020</x:v>
      </x:c>
      <x:c r="E265" s="6" t="n">
        <x:v>46158</x:v>
      </x:c>
      <x:c r="F265" t="n">
        <x:f>TODAY()-E265</x:f>
        <x:v>77</x:v>
      </x:c>
      <x:c r="G265" s="7" t="n">
        <x:f>SUMIF($A$5:$A$563,A265,$D$5:$D$563)</x:f>
        <x:v>53111</x:v>
      </x:c>
    </x:row>
    <x:row r="266">
      <x:c r="A266" t="str">
        <x:v>Evershine Enterprises</x:v>
      </x:c>
      <x:c r="B266" t="str">
        <x:v>NA/0826/26-27</x:v>
      </x:c>
      <x:c r="C266" s="6" t="n">
        <x:v>46172</x:v>
      </x:c>
      <x:c r="D266" s="7" t="n">
        <x:v>1363</x:v>
      </x:c>
      <x:c r="E266" s="6" t="n">
        <x:v>46172</x:v>
      </x:c>
      <x:c r="F266" t="n">
        <x:f>TODAY()-E266</x:f>
        <x:v>63</x:v>
      </x:c>
      <x:c r="G266" s="7" t="n">
        <x:f>SUMIF($A$5:$A$563,A266,$D$5:$D$563)</x:f>
        <x:v>53111</x:v>
      </x:c>
    </x:row>
    <x:row r="267">
      <x:c r="A267" t="str">
        <x:v>Evershine Enterprises</x:v>
      </x:c>
      <x:c r="B267" t="str">
        <x:v>NA/1015/26-27</x:v>
      </x:c>
      <x:c r="C267" s="6" t="n">
        <x:v>46182</x:v>
      </x:c>
      <x:c r="D267" s="7" t="n">
        <x:v>1298</x:v>
      </x:c>
      <x:c r="E267" s="6" t="n">
        <x:v>46182</x:v>
      </x:c>
      <x:c r="F267" t="n">
        <x:f>TODAY()-E267</x:f>
        <x:v>53</x:v>
      </x:c>
      <x:c r="G267" s="7" t="n">
        <x:f>SUMIF($A$5:$A$563,A267,$D$5:$D$563)</x:f>
        <x:v>53111</x:v>
      </x:c>
    </x:row>
    <x:row r="268">
      <x:c r="A268" t="str">
        <x:v>Evershine Enterprises</x:v>
      </x:c>
      <x:c r="B268" t="str">
        <x:v>NA/1026/26-27</x:v>
      </x:c>
      <x:c r="C268" s="6" t="n">
        <x:v>46182</x:v>
      </x:c>
      <x:c r="D268" s="7" t="n">
        <x:v>3540</x:v>
      </x:c>
      <x:c r="E268" s="6" t="n">
        <x:v>46182</x:v>
      </x:c>
      <x:c r="F268" t="n">
        <x:f>TODAY()-E268</x:f>
        <x:v>53</x:v>
      </x:c>
      <x:c r="G268" s="7" t="n">
        <x:f>SUMIF($A$5:$A$563,A268,$D$5:$D$563)</x:f>
        <x:v>53111</x:v>
      </x:c>
    </x:row>
    <x:row r="269">
      <x:c r="A269" t="str">
        <x:v>Evershine Enterprises</x:v>
      </x:c>
      <x:c r="B269" t="str">
        <x:v>NA/1031/26-27</x:v>
      </x:c>
      <x:c r="C269" s="6" t="n">
        <x:v>46182</x:v>
      </x:c>
      <x:c r="D269" s="7" t="n">
        <x:v>8301</x:v>
      </x:c>
      <x:c r="E269" s="6" t="n">
        <x:v>46182</x:v>
      </x:c>
      <x:c r="F269" t="n">
        <x:f>TODAY()-E269</x:f>
        <x:v>53</x:v>
      </x:c>
      <x:c r="G269" s="7" t="n">
        <x:f>SUMIF($A$5:$A$563,A269,$D$5:$D$563)</x:f>
        <x:v>53111</x:v>
      </x:c>
    </x:row>
    <x:row r="270">
      <x:c r="A270" t="str">
        <x:v>Evershine Enterprises</x:v>
      </x:c>
      <x:c r="B270" t="str">
        <x:v>NA/1232/26-27</x:v>
      </x:c>
      <x:c r="C270" s="6" t="n">
        <x:v>46200</x:v>
      </x:c>
      <x:c r="D270" s="7" t="n">
        <x:v>1766</x:v>
      </x:c>
      <x:c r="E270" s="6" t="n">
        <x:v>46200</x:v>
      </x:c>
      <x:c r="F270" t="n">
        <x:f>TODAY()-E270</x:f>
        <x:v>35</x:v>
      </x:c>
      <x:c r="G270" s="7" t="n">
        <x:f>SUMIF($A$5:$A$563,A270,$D$5:$D$563)</x:f>
        <x:v>53111</x:v>
      </x:c>
    </x:row>
    <x:row r="271">
      <x:c r="A271" t="str">
        <x:v>Evershine Enterprises</x:v>
      </x:c>
      <x:c r="B271" t="str">
        <x:v>NA/1365/26-27</x:v>
      </x:c>
      <x:c r="C271" s="6" t="n">
        <x:v>46207</x:v>
      </x:c>
      <x:c r="D271" s="7" t="n">
        <x:v>495</x:v>
      </x:c>
      <x:c r="E271" s="6" t="n">
        <x:v>46207</x:v>
      </x:c>
      <x:c r="F271" t="n">
        <x:f>TODAY()-E271</x:f>
        <x:v>28</x:v>
      </x:c>
      <x:c r="G271" s="7" t="n">
        <x:f>SUMIF($A$5:$A$563,A271,$D$5:$D$563)</x:f>
        <x:v>53111</x:v>
      </x:c>
    </x:row>
    <x:row r="272">
      <x:c r="A272" t="str">
        <x:v>Evershine Enterprises</x:v>
      </x:c>
      <x:c r="B272" t="str">
        <x:v>NA/1398/26-27</x:v>
      </x:c>
      <x:c r="C272" s="6" t="n">
        <x:v>46209</x:v>
      </x:c>
      <x:c r="D272" s="7" t="n">
        <x:v>1751</x:v>
      </x:c>
      <x:c r="E272" s="6" t="n">
        <x:v>46209</x:v>
      </x:c>
      <x:c r="F272" t="n">
        <x:f>TODAY()-E272</x:f>
        <x:v>26</x:v>
      </x:c>
      <x:c r="G272" s="7" t="n">
        <x:f>SUMIF($A$5:$A$563,A272,$D$5:$D$563)</x:f>
        <x:v>53111</x:v>
      </x:c>
    </x:row>
    <x:row r="273">
      <x:c r="A273" t="str">
        <x:v>Evershine Enterprises</x:v>
      </x:c>
      <x:c r="B273" t="str">
        <x:v>NA/1596/26-27</x:v>
      </x:c>
      <x:c r="C273" s="6" t="n">
        <x:v>46219</x:v>
      </x:c>
      <x:c r="D273" s="7" t="n">
        <x:v>2410</x:v>
      </x:c>
      <x:c r="E273" s="6" t="n">
        <x:v>46219</x:v>
      </x:c>
      <x:c r="F273" t="n">
        <x:f>TODAY()-E273</x:f>
        <x:v>16</x:v>
      </x:c>
      <x:c r="G273" s="7" t="n">
        <x:f>SUMIF($A$5:$A$563,A273,$D$5:$D$563)</x:f>
        <x:v>53111</x:v>
      </x:c>
    </x:row>
    <x:row r="274">
      <x:c r="A274" t="str">
        <x:v>Evershine Enterprises</x:v>
      </x:c>
      <x:c r="B274" t="str">
        <x:v>NA/1609/26-27</x:v>
      </x:c>
      <x:c r="C274" s="6" t="n">
        <x:v>46220</x:v>
      </x:c>
      <x:c r="D274" s="7" t="n">
        <x:v>882</x:v>
      </x:c>
      <x:c r="E274" s="6" t="n">
        <x:v>46220</x:v>
      </x:c>
      <x:c r="F274" t="n">
        <x:f>TODAY()-E274</x:f>
        <x:v>15</x:v>
      </x:c>
      <x:c r="G274" s="7" t="n">
        <x:f>SUMIF($A$5:$A$563,A274,$D$5:$D$563)</x:f>
        <x:v>53111</x:v>
      </x:c>
    </x:row>
    <x:row r="275">
      <x:c r="A275" t="str">
        <x:v>Evershine Enterprises</x:v>
      </x:c>
      <x:c r="B275" t="str">
        <x:v>NA/1695/26-27</x:v>
      </x:c>
      <x:c r="C275" s="6" t="n">
        <x:v>46224</x:v>
      </x:c>
      <x:c r="D275" s="7" t="n">
        <x:v>4744</x:v>
      </x:c>
      <x:c r="E275" s="6" t="n">
        <x:v>46224</x:v>
      </x:c>
      <x:c r="F275" t="n">
        <x:f>TODAY()-E275</x:f>
        <x:v>11</x:v>
      </x:c>
      <x:c r="G275" s="7" t="n">
        <x:f>SUMIF($A$5:$A$563,A275,$D$5:$D$563)</x:f>
        <x:v>53111</x:v>
      </x:c>
    </x:row>
    <x:row r="276">
      <x:c r="A276" t="str">
        <x:v>Evershine Enterprises</x:v>
      </x:c>
      <x:c r="B276" t="str">
        <x:v>NA/1771/26-27</x:v>
      </x:c>
      <x:c r="C276" s="6" t="n">
        <x:v>46228</x:v>
      </x:c>
      <x:c r="D276" s="7" t="n">
        <x:v>400</x:v>
      </x:c>
      <x:c r="E276" s="6" t="n">
        <x:v>46228</x:v>
      </x:c>
      <x:c r="F276" t="n">
        <x:f>TODAY()-E276</x:f>
        <x:v>7</x:v>
      </x:c>
      <x:c r="G276" s="7" t="n">
        <x:f>SUMIF($A$5:$A$563,A276,$D$5:$D$563)</x:f>
        <x:v>53111</x:v>
      </x:c>
    </x:row>
    <x:row r="277">
      <x:c r="A277" t="str">
        <x:v>Safeboy Safety Solutions</x:v>
      </x:c>
      <x:c r="B277" t="str">
        <x:v>NA/0067/26-27</x:v>
      </x:c>
      <x:c r="C277" s="6" t="n">
        <x:v>46116</x:v>
      </x:c>
      <x:c r="D277" s="7" t="n">
        <x:v>189</x:v>
      </x:c>
      <x:c r="E277" s="6" t="n">
        <x:v>46116</x:v>
      </x:c>
      <x:c r="F277" t="n">
        <x:f>TODAY()-E277</x:f>
        <x:v>119</x:v>
      </x:c>
      <x:c r="G277" s="7" t="n">
        <x:f>SUMIF($A$5:$A$563,A277,$D$5:$D$563)</x:f>
        <x:v>22276</x:v>
      </x:c>
    </x:row>
    <x:row r="278">
      <x:c r="A278" t="str">
        <x:v>Safeboy Safety Solutions</x:v>
      </x:c>
      <x:c r="B278" t="str">
        <x:v>NA/0409/26-27</x:v>
      </x:c>
      <x:c r="C278" s="6" t="n">
        <x:v>46144</x:v>
      </x:c>
      <x:c r="D278" s="7" t="n">
        <x:v>1037</x:v>
      </x:c>
      <x:c r="E278" s="6" t="n">
        <x:v>46144</x:v>
      </x:c>
      <x:c r="F278" t="n">
        <x:f>TODAY()-E278</x:f>
        <x:v>91</x:v>
      </x:c>
      <x:c r="G278" s="7" t="n">
        <x:f>SUMIF($A$5:$A$563,A278,$D$5:$D$563)</x:f>
        <x:v>22276</x:v>
      </x:c>
    </x:row>
    <x:row r="279">
      <x:c r="A279" t="str">
        <x:v>Safeboy Safety Solutions</x:v>
      </x:c>
      <x:c r="B279" t="str">
        <x:v>NA/0433/26-27</x:v>
      </x:c>
      <x:c r="C279" s="6" t="n">
        <x:v>46147</x:v>
      </x:c>
      <x:c r="D279" s="7" t="n">
        <x:v>1196</x:v>
      </x:c>
      <x:c r="E279" s="6" t="n">
        <x:v>46147</x:v>
      </x:c>
      <x:c r="F279" t="n">
        <x:f>TODAY()-E279</x:f>
        <x:v>88</x:v>
      </x:c>
      <x:c r="G279" s="7" t="n">
        <x:f>SUMIF($A$5:$A$563,A279,$D$5:$D$563)</x:f>
        <x:v>22276</x:v>
      </x:c>
    </x:row>
    <x:row r="280">
      <x:c r="A280" t="str">
        <x:v>Safeboy Safety Solutions</x:v>
      </x:c>
      <x:c r="B280" t="str">
        <x:v>NA/0548/26-27</x:v>
      </x:c>
      <x:c r="C280" s="6" t="n">
        <x:v>46155</x:v>
      </x:c>
      <x:c r="D280" s="7" t="n">
        <x:v>1037</x:v>
      </x:c>
      <x:c r="E280" s="6" t="n">
        <x:v>46155</x:v>
      </x:c>
      <x:c r="F280" t="n">
        <x:f>TODAY()-E280</x:f>
        <x:v>80</x:v>
      </x:c>
      <x:c r="G280" s="7" t="n">
        <x:f>SUMIF($A$5:$A$563,A280,$D$5:$D$563)</x:f>
        <x:v>22276</x:v>
      </x:c>
    </x:row>
    <x:row r="281">
      <x:c r="A281" t="str">
        <x:v>Safeboy Safety Solutions</x:v>
      </x:c>
      <x:c r="B281" t="str">
        <x:v>NA/0596/26-27</x:v>
      </x:c>
      <x:c r="C281" s="6" t="n">
        <x:v>46157</x:v>
      </x:c>
      <x:c r="D281" s="7" t="n">
        <x:v>176</x:v>
      </x:c>
      <x:c r="E281" s="6" t="n">
        <x:v>46157</x:v>
      </x:c>
      <x:c r="F281" t="n">
        <x:f>TODAY()-E281</x:f>
        <x:v>78</x:v>
      </x:c>
      <x:c r="G281" s="7" t="n">
        <x:f>SUMIF($A$5:$A$563,A281,$D$5:$D$563)</x:f>
        <x:v>22276</x:v>
      </x:c>
    </x:row>
    <x:row r="282">
      <x:c r="A282" t="str">
        <x:v>Safeboy Safety Solutions</x:v>
      </x:c>
      <x:c r="B282" t="str">
        <x:v>NA/0963/26-27</x:v>
      </x:c>
      <x:c r="C282" s="6" t="n">
        <x:v>46179</x:v>
      </x:c>
      <x:c r="D282" s="7" t="n">
        <x:v>2511</x:v>
      </x:c>
      <x:c r="E282" s="6" t="n">
        <x:v>46179</x:v>
      </x:c>
      <x:c r="F282" t="n">
        <x:f>TODAY()-E282</x:f>
        <x:v>56</x:v>
      </x:c>
      <x:c r="G282" s="7" t="n">
        <x:f>SUMIF($A$5:$A$563,A282,$D$5:$D$563)</x:f>
        <x:v>22276</x:v>
      </x:c>
    </x:row>
    <x:row r="283">
      <x:c r="A283" t="str">
        <x:v>Safeboy Safety Solutions</x:v>
      </x:c>
      <x:c r="B283" t="str">
        <x:v>NA/1444/26-27</x:v>
      </x:c>
      <x:c r="C283" s="6" t="n">
        <x:v>46212</x:v>
      </x:c>
      <x:c r="D283" s="7" t="n">
        <x:v>1301</x:v>
      </x:c>
      <x:c r="E283" s="6" t="n">
        <x:v>46212</x:v>
      </x:c>
      <x:c r="F283" t="n">
        <x:f>TODAY()-E283</x:f>
        <x:v>23</x:v>
      </x:c>
      <x:c r="G283" s="7" t="n">
        <x:f>SUMIF($A$5:$A$563,A283,$D$5:$D$563)</x:f>
        <x:v>22276</x:v>
      </x:c>
    </x:row>
    <x:row r="284">
      <x:c r="A284" t="str">
        <x:v>Safeboy Safety Solutions</x:v>
      </x:c>
      <x:c r="B284" t="str">
        <x:v>NA/1532/26-27</x:v>
      </x:c>
      <x:c r="C284" s="6" t="n">
        <x:v>46217</x:v>
      </x:c>
      <x:c r="D284" s="7" t="n">
        <x:v>221</x:v>
      </x:c>
      <x:c r="E284" s="6" t="n">
        <x:v>46217</x:v>
      </x:c>
      <x:c r="F284" t="n">
        <x:f>TODAY()-E284</x:f>
        <x:v>18</x:v>
      </x:c>
      <x:c r="G284" s="7" t="n">
        <x:f>SUMIF($A$5:$A$563,A284,$D$5:$D$563)</x:f>
        <x:v>22276</x:v>
      </x:c>
    </x:row>
    <x:row r="285">
      <x:c r="A285" t="str">
        <x:v>Safeboy Safety Solutions</x:v>
      </x:c>
      <x:c r="B285" t="str">
        <x:v>NA/1685/26-27</x:v>
      </x:c>
      <x:c r="C285" s="6" t="n">
        <x:v>46224</x:v>
      </x:c>
      <x:c r="D285" s="7" t="n">
        <x:v>3940</x:v>
      </x:c>
      <x:c r="E285" s="6" t="n">
        <x:v>46224</x:v>
      </x:c>
      <x:c r="F285" t="n">
        <x:f>TODAY()-E285</x:f>
        <x:v>11</x:v>
      </x:c>
      <x:c r="G285" s="7" t="n">
        <x:f>SUMIF($A$5:$A$563,A285,$D$5:$D$563)</x:f>
        <x:v>22276</x:v>
      </x:c>
    </x:row>
    <x:row r="286">
      <x:c r="A286" t="str">
        <x:v>Safeboy Safety Solutions</x:v>
      </x:c>
      <x:c r="B286" t="str">
        <x:v>NA/1717/26-27</x:v>
      </x:c>
      <x:c r="C286" s="6" t="n">
        <x:v>46226</x:v>
      </x:c>
      <x:c r="D286" s="7" t="n">
        <x:v>1196</x:v>
      </x:c>
      <x:c r="E286" s="6" t="n">
        <x:v>46226</x:v>
      </x:c>
      <x:c r="F286" t="n">
        <x:f>TODAY()-E286</x:f>
        <x:v>9</x:v>
      </x:c>
      <x:c r="G286" s="7" t="n">
        <x:f>SUMIF($A$5:$A$563,A286,$D$5:$D$563)</x:f>
        <x:v>22276</x:v>
      </x:c>
    </x:row>
    <x:row r="287">
      <x:c r="A287" t="str">
        <x:v>Safeboy Safety Solutions</x:v>
      </x:c>
      <x:c r="B287" t="str">
        <x:v>NA/1851/26-27</x:v>
      </x:c>
      <x:c r="C287" s="6" t="n">
        <x:v>46232</x:v>
      </x:c>
      <x:c r="D287" s="7" t="n">
        <x:v>7046</x:v>
      </x:c>
      <x:c r="E287" s="6" t="n">
        <x:v>46232</x:v>
      </x:c>
      <x:c r="F287" t="n">
        <x:f>TODAY()-E287</x:f>
        <x:v>3</x:v>
      </x:c>
      <x:c r="G287" s="7" t="n">
        <x:f>SUMIF($A$5:$A$563,A287,$D$5:$D$563)</x:f>
        <x:v>22276</x:v>
      </x:c>
    </x:row>
    <x:row r="288">
      <x:c r="A288" t="str">
        <x:v>Safeboy Safety Solutions</x:v>
      </x:c>
      <x:c r="B288" t="str">
        <x:v>NA/1876/26-27</x:v>
      </x:c>
      <x:c r="C288" s="6" t="n">
        <x:v>46234</x:v>
      </x:c>
      <x:c r="D288" s="7" t="n">
        <x:v>2426</x:v>
      </x:c>
      <x:c r="E288" s="6" t="n">
        <x:v>46234</x:v>
      </x:c>
      <x:c r="F288" t="n">
        <x:f>TODAY()-E288</x:f>
        <x:v>1</x:v>
      </x:c>
      <x:c r="G288" s="7" t="n">
        <x:f>SUMIF($A$5:$A$563,A288,$D$5:$D$563)</x:f>
        <x:v>22276</x:v>
      </x:c>
    </x:row>
    <x:row r="289">
      <x:c r="A289" t="str">
        <x:v>SAMRAT TOOLS CENTRE</x:v>
      </x:c>
      <x:c r="B289" t="str">
        <x:v>NA/0100/26-27</x:v>
      </x:c>
      <x:c r="C289" s="6" t="n">
        <x:v>46119</x:v>
      </x:c>
      <x:c r="D289" s="7" t="n">
        <x:v>880</x:v>
      </x:c>
      <x:c r="E289" s="6" t="n">
        <x:v>46119</x:v>
      </x:c>
      <x:c r="F289" t="n">
        <x:f>TODAY()-E289</x:f>
        <x:v>116</x:v>
      </x:c>
      <x:c r="G289" s="7" t="n">
        <x:f>SUMIF($A$5:$A$563,A289,$D$5:$D$563)</x:f>
        <x:v>11900</x:v>
      </x:c>
    </x:row>
    <x:row r="290">
      <x:c r="A290" t="str">
        <x:v>SAMRAT TOOLS CENTRE</x:v>
      </x:c>
      <x:c r="B290" t="str">
        <x:v>NA/1567/26-27</x:v>
      </x:c>
      <x:c r="C290" s="6" t="n">
        <x:v>46218</x:v>
      </x:c>
      <x:c r="D290" s="7" t="n">
        <x:v>4740</x:v>
      </x:c>
      <x:c r="E290" s="6" t="n">
        <x:v>46218</x:v>
      </x:c>
      <x:c r="F290" t="n">
        <x:f>TODAY()-E290</x:f>
        <x:v>17</x:v>
      </x:c>
      <x:c r="G290" s="7" t="n">
        <x:f>SUMIF($A$5:$A$563,A290,$D$5:$D$563)</x:f>
        <x:v>11900</x:v>
      </x:c>
    </x:row>
    <x:row r="291">
      <x:c r="A291" t="str">
        <x:v>SAMRAT TOOLS CENTRE</x:v>
      </x:c>
      <x:c r="B291" t="str">
        <x:v>NA/1587/26-27</x:v>
      </x:c>
      <x:c r="C291" s="6" t="n">
        <x:v>46219</x:v>
      </x:c>
      <x:c r="D291" s="7" t="n">
        <x:v>1074</x:v>
      </x:c>
      <x:c r="E291" s="6" t="n">
        <x:v>46219</x:v>
      </x:c>
      <x:c r="F291" t="n">
        <x:f>TODAY()-E291</x:f>
        <x:v>16</x:v>
      </x:c>
      <x:c r="G291" s="7" t="n">
        <x:f>SUMIF($A$5:$A$563,A291,$D$5:$D$563)</x:f>
        <x:v>11900</x:v>
      </x:c>
    </x:row>
    <x:row r="292">
      <x:c r="A292" t="str">
        <x:v>SAMRAT TOOLS CENTRE</x:v>
      </x:c>
      <x:c r="B292" t="str">
        <x:v>NA/1608/26-27</x:v>
      </x:c>
      <x:c r="C292" s="6" t="n">
        <x:v>46220</x:v>
      </x:c>
      <x:c r="D292" s="7" t="n">
        <x:v>4326</x:v>
      </x:c>
      <x:c r="E292" s="6" t="n">
        <x:v>46220</x:v>
      </x:c>
      <x:c r="F292" t="n">
        <x:f>TODAY()-E292</x:f>
        <x:v>15</x:v>
      </x:c>
      <x:c r="G292" s="7" t="n">
        <x:f>SUMIF($A$5:$A$563,A292,$D$5:$D$563)</x:f>
        <x:v>11900</x:v>
      </x:c>
    </x:row>
    <x:row r="293">
      <x:c r="A293" t="str">
        <x:v>SAMRAT TOOLS CENTRE</x:v>
      </x:c>
      <x:c r="B293" t="str">
        <x:v>NA/1888/26-27</x:v>
      </x:c>
      <x:c r="C293" s="6" t="n">
        <x:v>46235</x:v>
      </x:c>
      <x:c r="D293" s="7" t="n">
        <x:v>880</x:v>
      </x:c>
      <x:c r="E293" s="6" t="n">
        <x:v>46235</x:v>
      </x:c>
      <x:c r="F293" t="n">
        <x:f>TODAY()-E293</x:f>
        <x:v>0</x:v>
      </x:c>
      <x:c r="G293" s="7" t="n">
        <x:f>SUMIF($A$5:$A$563,A293,$D$5:$D$563)</x:f>
        <x:v>11900</x:v>
      </x:c>
    </x:row>
    <x:row r="294">
      <x:c r="A294" t="str">
        <x:v>Argo Hytos Pvt.Ltd</x:v>
      </x:c>
      <x:c r="B294" t="str">
        <x:v>NA/0122/26-27</x:v>
      </x:c>
      <x:c r="C294" s="6" t="n">
        <x:v>46120</x:v>
      </x:c>
      <x:c r="D294" s="7" t="n">
        <x:v>6138</x:v>
      </x:c>
      <x:c r="E294" s="6" t="n">
        <x:v>46120</x:v>
      </x:c>
      <x:c r="F294" t="n">
        <x:f>TODAY()-E294</x:f>
        <x:v>115</x:v>
      </x:c>
      <x:c r="G294" s="7" t="n">
        <x:f>SUMIF($A$5:$A$563,A294,$D$5:$D$563)</x:f>
        <x:v>52708</x:v>
      </x:c>
    </x:row>
    <x:row r="295">
      <x:c r="A295" t="str">
        <x:v>Argo Hytos Pvt.Ltd</x:v>
      </x:c>
      <x:c r="B295" t="str">
        <x:v>NA/1483/26-27</x:v>
      </x:c>
      <x:c r="C295" s="6" t="n">
        <x:v>46213</x:v>
      </x:c>
      <x:c r="D295" s="7" t="n">
        <x:v>732</x:v>
      </x:c>
      <x:c r="E295" s="6" t="n">
        <x:v>46213</x:v>
      </x:c>
      <x:c r="F295" t="n">
        <x:f>TODAY()-E295</x:f>
        <x:v>22</x:v>
      </x:c>
      <x:c r="G295" s="7" t="n">
        <x:f>SUMIF($A$5:$A$563,A295,$D$5:$D$563)</x:f>
        <x:v>52708</x:v>
      </x:c>
    </x:row>
    <x:row r="296">
      <x:c r="A296" t="str">
        <x:v>Argo Hytos Pvt.Ltd</x:v>
      </x:c>
      <x:c r="B296" t="str">
        <x:v>NA/1581/26-27</x:v>
      </x:c>
      <x:c r="C296" s="6" t="n">
        <x:v>46218</x:v>
      </x:c>
      <x:c r="D296" s="7" t="n">
        <x:v>23914</x:v>
      </x:c>
      <x:c r="E296" s="6" t="n">
        <x:v>46218</x:v>
      </x:c>
      <x:c r="F296" t="n">
        <x:f>TODAY()-E296</x:f>
        <x:v>17</x:v>
      </x:c>
      <x:c r="G296" s="7" t="n">
        <x:f>SUMIF($A$5:$A$563,A296,$D$5:$D$563)</x:f>
        <x:v>52708</x:v>
      </x:c>
    </x:row>
    <x:row r="297">
      <x:c r="A297" t="str">
        <x:v>Argo Hytos Pvt.Ltd</x:v>
      </x:c>
      <x:c r="B297" t="str">
        <x:v>NA/1582/26-27</x:v>
      </x:c>
      <x:c r="C297" s="6" t="n">
        <x:v>46218</x:v>
      </x:c>
      <x:c r="D297" s="7" t="n">
        <x:v>7309</x:v>
      </x:c>
      <x:c r="E297" s="6" t="n">
        <x:v>46218</x:v>
      </x:c>
      <x:c r="F297" t="n">
        <x:f>TODAY()-E297</x:f>
        <x:v>17</x:v>
      </x:c>
      <x:c r="G297" s="7" t="n">
        <x:f>SUMIF($A$5:$A$563,A297,$D$5:$D$563)</x:f>
        <x:v>52708</x:v>
      </x:c>
    </x:row>
    <x:row r="298">
      <x:c r="A298" t="str">
        <x:v>Argo Hytos Pvt.Ltd</x:v>
      </x:c>
      <x:c r="B298" t="str">
        <x:v>NA/1673/26-27</x:v>
      </x:c>
      <x:c r="C298" s="6" t="n">
        <x:v>46223</x:v>
      </x:c>
      <x:c r="D298" s="7" t="n">
        <x:v>2236</x:v>
      </x:c>
      <x:c r="E298" s="6" t="n">
        <x:v>46223</x:v>
      </x:c>
      <x:c r="F298" t="n">
        <x:f>TODAY()-E298</x:f>
        <x:v>12</x:v>
      </x:c>
      <x:c r="G298" s="7" t="n">
        <x:f>SUMIF($A$5:$A$563,A298,$D$5:$D$563)</x:f>
        <x:v>52708</x:v>
      </x:c>
    </x:row>
    <x:row r="299">
      <x:c r="A299" t="str">
        <x:v>Argo Hytos Pvt.Ltd</x:v>
      </x:c>
      <x:c r="B299" t="str">
        <x:v>NA/1715/26-27</x:v>
      </x:c>
      <x:c r="C299" s="6" t="n">
        <x:v>46225</x:v>
      </x:c>
      <x:c r="D299" s="7" t="n">
        <x:v>4219</x:v>
      </x:c>
      <x:c r="E299" s="6" t="n">
        <x:v>46225</x:v>
      </x:c>
      <x:c r="F299" t="n">
        <x:f>TODAY()-E299</x:f>
        <x:v>10</x:v>
      </x:c>
      <x:c r="G299" s="7" t="n">
        <x:f>SUMIF($A$5:$A$563,A299,$D$5:$D$563)</x:f>
        <x:v>52708</x:v>
      </x:c>
    </x:row>
    <x:row r="300">
      <x:c r="A300" t="str">
        <x:v>Argo Hytos Pvt.Ltd</x:v>
      </x:c>
      <x:c r="B300" t="str">
        <x:v>NA/1718/26-27</x:v>
      </x:c>
      <x:c r="C300" s="6" t="n">
        <x:v>46226</x:v>
      </x:c>
      <x:c r="D300" s="7" t="n">
        <x:v>6390</x:v>
      </x:c>
      <x:c r="E300" s="6" t="n">
        <x:v>46226</x:v>
      </x:c>
      <x:c r="F300" t="n">
        <x:f>TODAY()-E300</x:f>
        <x:v>9</x:v>
      </x:c>
      <x:c r="G300" s="7" t="n">
        <x:f>SUMIF($A$5:$A$563,A300,$D$5:$D$563)</x:f>
        <x:v>52708</x:v>
      </x:c>
    </x:row>
    <x:row r="301">
      <x:c r="A301" t="str">
        <x:v>Argo Hytos Pvt.Ltd</x:v>
      </x:c>
      <x:c r="B301" t="str">
        <x:v>NA/1759/26-27</x:v>
      </x:c>
      <x:c r="C301" s="6" t="n">
        <x:v>46228</x:v>
      </x:c>
      <x:c r="D301" s="7" t="n">
        <x:v>1770</x:v>
      </x:c>
      <x:c r="E301" s="6" t="n">
        <x:v>46228</x:v>
      </x:c>
      <x:c r="F301" t="n">
        <x:f>TODAY()-E301</x:f>
        <x:v>7</x:v>
      </x:c>
      <x:c r="G301" s="7" t="n">
        <x:f>SUMIF($A$5:$A$563,A301,$D$5:$D$563)</x:f>
        <x:v>52708</x:v>
      </x:c>
    </x:row>
    <x:row r="302">
      <x:c r="A302" t="str">
        <x:v>Fahi Q Innovation</x:v>
      </x:c>
      <x:c r="B302" t="str">
        <x:v>NA/0153/26-27</x:v>
      </x:c>
      <x:c r="C302" s="6" t="n">
        <x:v>46122</x:v>
      </x:c>
      <x:c r="D302" s="7" t="n">
        <x:v>28320</x:v>
      </x:c>
      <x:c r="E302" s="6" t="n">
        <x:v>46122</x:v>
      </x:c>
      <x:c r="F302" t="n">
        <x:f>TODAY()-E302</x:f>
        <x:v>113</x:v>
      </x:c>
      <x:c r="G302" s="7" t="n">
        <x:f>SUMIF($A$5:$A$563,A302,$D$5:$D$563)</x:f>
        <x:v>68959</x:v>
      </x:c>
    </x:row>
    <x:row r="303">
      <x:c r="A303" t="str">
        <x:v>Fahi Q Innovation</x:v>
      </x:c>
      <x:c r="B303" t="str">
        <x:v>NA/0563/26-27</x:v>
      </x:c>
      <x:c r="C303" s="6" t="n">
        <x:v>46156</x:v>
      </x:c>
      <x:c r="D303" s="7" t="n">
        <x:v>29736</x:v>
      </x:c>
      <x:c r="E303" s="6" t="n">
        <x:v>46156</x:v>
      </x:c>
      <x:c r="F303" t="n">
        <x:f>TODAY()-E303</x:f>
        <x:v>79</x:v>
      </x:c>
      <x:c r="G303" s="7" t="n">
        <x:f>SUMIF($A$5:$A$563,A303,$D$5:$D$563)</x:f>
        <x:v>68959</x:v>
      </x:c>
    </x:row>
    <x:row r="304">
      <x:c r="A304" t="str">
        <x:v>Fahi Q Innovation</x:v>
      </x:c>
      <x:c r="B304" t="str">
        <x:v>NA/1460/26-27</x:v>
      </x:c>
      <x:c r="C304" s="6" t="n">
        <x:v>46212</x:v>
      </x:c>
      <x:c r="D304" s="7" t="n">
        <x:v>8921</x:v>
      </x:c>
      <x:c r="E304" s="6" t="n">
        <x:v>46212</x:v>
      </x:c>
      <x:c r="F304" t="n">
        <x:f>TODAY()-E304</x:f>
        <x:v>23</x:v>
      </x:c>
      <x:c r="G304" s="7" t="n">
        <x:f>SUMIF($A$5:$A$563,A304,$D$5:$D$563)</x:f>
        <x:v>68959</x:v>
      </x:c>
    </x:row>
    <x:row r="305">
      <x:c r="A305" t="str">
        <x:v>Fahi Q Innovation</x:v>
      </x:c>
      <x:c r="B305" t="str">
        <x:v>NA/1859/26-27</x:v>
      </x:c>
      <x:c r="C305" s="6" t="n">
        <x:v>46233</x:v>
      </x:c>
      <x:c r="D305" s="7" t="n">
        <x:v>1982</x:v>
      </x:c>
      <x:c r="E305" s="6" t="n">
        <x:v>46233</x:v>
      </x:c>
      <x:c r="F305" t="n">
        <x:f>TODAY()-E305</x:f>
        <x:v>2</x:v>
      </x:c>
      <x:c r="G305" s="7" t="n">
        <x:f>SUMIF($A$5:$A$563,A305,$D$5:$D$563)</x:f>
        <x:v>68959</x:v>
      </x:c>
    </x:row>
    <x:row r="306">
      <x:c r="A306" t="str">
        <x:v>Salem Pipe Traders</x:v>
      </x:c>
      <x:c r="B306" t="str">
        <x:v>NA/0150/26-27</x:v>
      </x:c>
      <x:c r="C306" s="6" t="n">
        <x:v>46122</x:v>
      </x:c>
      <x:c r="D306" s="7" t="n">
        <x:v>3201</x:v>
      </x:c>
      <x:c r="E306" s="6" t="n">
        <x:v>46122</x:v>
      </x:c>
      <x:c r="F306" t="n">
        <x:f>TODAY()-E306</x:f>
        <x:v>113</x:v>
      </x:c>
      <x:c r="G306" s="7" t="n">
        <x:f>SUMIF($A$5:$A$563,A306,$D$5:$D$563)</x:f>
        <x:v>61020</x:v>
      </x:c>
    </x:row>
    <x:row r="307">
      <x:c r="A307" t="str">
        <x:v>Salem Pipe Traders</x:v>
      </x:c>
      <x:c r="B307" t="str">
        <x:v>NA/0285/26-27</x:v>
      </x:c>
      <x:c r="C307" s="6" t="n">
        <x:v>46133</x:v>
      </x:c>
      <x:c r="D307" s="7" t="n">
        <x:v>9956</x:v>
      </x:c>
      <x:c r="E307" s="6" t="n">
        <x:v>46133</x:v>
      </x:c>
      <x:c r="F307" t="n">
        <x:f>TODAY()-E307</x:f>
        <x:v>102</x:v>
      </x:c>
      <x:c r="G307" s="7" t="n">
        <x:f>SUMIF($A$5:$A$563,A307,$D$5:$D$563)</x:f>
        <x:v>61020</x:v>
      </x:c>
    </x:row>
    <x:row r="308">
      <x:c r="A308" t="str">
        <x:v>Salem Pipe Traders</x:v>
      </x:c>
      <x:c r="B308" t="str">
        <x:v>NA/0300/26-27</x:v>
      </x:c>
      <x:c r="C308" s="6" t="n">
        <x:v>46136</x:v>
      </x:c>
      <x:c r="D308" s="7" t="n">
        <x:v>5250</x:v>
      </x:c>
      <x:c r="E308" s="6" t="n">
        <x:v>46136</x:v>
      </x:c>
      <x:c r="F308" t="n">
        <x:f>TODAY()-E308</x:f>
        <x:v>99</x:v>
      </x:c>
      <x:c r="G308" s="7" t="n">
        <x:f>SUMIF($A$5:$A$563,A308,$D$5:$D$563)</x:f>
        <x:v>61020</x:v>
      </x:c>
    </x:row>
    <x:row r="309">
      <x:c r="A309" t="str">
        <x:v>Salem Pipe Traders</x:v>
      </x:c>
      <x:c r="B309" t="str">
        <x:v>NA/0344/26-27</x:v>
      </x:c>
      <x:c r="C309" s="6" t="n">
        <x:v>46139</x:v>
      </x:c>
      <x:c r="D309" s="7" t="n">
        <x:v>4830</x:v>
      </x:c>
      <x:c r="E309" s="6" t="n">
        <x:v>46139</x:v>
      </x:c>
      <x:c r="F309" t="n">
        <x:f>TODAY()-E309</x:f>
        <x:v>96</x:v>
      </x:c>
      <x:c r="G309" s="7" t="n">
        <x:f>SUMIF($A$5:$A$563,A309,$D$5:$D$563)</x:f>
        <x:v>61020</x:v>
      </x:c>
    </x:row>
    <x:row r="310">
      <x:c r="A310" t="str">
        <x:v>Salem Pipe Traders</x:v>
      </x:c>
      <x:c r="B310" t="str">
        <x:v>NA/0385/26-27</x:v>
      </x:c>
      <x:c r="C310" s="6" t="n">
        <x:v>46141</x:v>
      </x:c>
      <x:c r="D310" s="7" t="n">
        <x:v>9240</x:v>
      </x:c>
      <x:c r="E310" s="6" t="n">
        <x:v>46141</x:v>
      </x:c>
      <x:c r="F310" t="n">
        <x:f>TODAY()-E310</x:f>
        <x:v>94</x:v>
      </x:c>
      <x:c r="G310" s="7" t="n">
        <x:f>SUMIF($A$5:$A$563,A310,$D$5:$D$563)</x:f>
        <x:v>61020</x:v>
      </x:c>
    </x:row>
    <x:row r="311">
      <x:c r="A311" t="str">
        <x:v>Salem Pipe Traders</x:v>
      </x:c>
      <x:c r="B311" t="str">
        <x:v>NA/0710/26-27</x:v>
      </x:c>
      <x:c r="C311" s="6" t="n">
        <x:v>46164</x:v>
      </x:c>
      <x:c r="D311" s="7" t="n">
        <x:v>10256</x:v>
      </x:c>
      <x:c r="E311" s="6" t="n">
        <x:v>46164</x:v>
      </x:c>
      <x:c r="F311" t="n">
        <x:f>TODAY()-E311</x:f>
        <x:v>71</x:v>
      </x:c>
      <x:c r="G311" s="7" t="n">
        <x:f>SUMIF($A$5:$A$563,A311,$D$5:$D$563)</x:f>
        <x:v>61020</x:v>
      </x:c>
    </x:row>
    <x:row r="312">
      <x:c r="A312" t="str">
        <x:v>Salem Pipe Traders</x:v>
      </x:c>
      <x:c r="B312" t="str">
        <x:v>NA/0888/26-27</x:v>
      </x:c>
      <x:c r="C312" s="6" t="n">
        <x:v>46176</x:v>
      </x:c>
      <x:c r="D312" s="7" t="n">
        <x:v>1782</x:v>
      </x:c>
      <x:c r="E312" s="6" t="n">
        <x:v>46176</x:v>
      </x:c>
      <x:c r="F312" t="n">
        <x:f>TODAY()-E312</x:f>
        <x:v>59</x:v>
      </x:c>
      <x:c r="G312" s="7" t="n">
        <x:f>SUMIF($A$5:$A$563,A312,$D$5:$D$563)</x:f>
        <x:v>61020</x:v>
      </x:c>
    </x:row>
    <x:row r="313">
      <x:c r="A313" t="str">
        <x:v>Salem Pipe Traders</x:v>
      </x:c>
      <x:c r="B313" t="str">
        <x:v>NA/0929/26-27</x:v>
      </x:c>
      <x:c r="C313" s="6" t="n">
        <x:v>46178</x:v>
      </x:c>
      <x:c r="D313" s="7" t="n">
        <x:v>1992</x:v>
      </x:c>
      <x:c r="E313" s="6" t="n">
        <x:v>46178</x:v>
      </x:c>
      <x:c r="F313" t="n">
        <x:f>TODAY()-E313</x:f>
        <x:v>57</x:v>
      </x:c>
      <x:c r="G313" s="7" t="n">
        <x:f>SUMIF($A$5:$A$563,A313,$D$5:$D$563)</x:f>
        <x:v>61020</x:v>
      </x:c>
    </x:row>
    <x:row r="314">
      <x:c r="A314" t="str">
        <x:v>Salem Pipe Traders</x:v>
      </x:c>
      <x:c r="B314" t="str">
        <x:v>NA/1030/26-27</x:v>
      </x:c>
      <x:c r="C314" s="6" t="n">
        <x:v>46182</x:v>
      </x:c>
      <x:c r="D314" s="7" t="n">
        <x:v>11840</x:v>
      </x:c>
      <x:c r="E314" s="6" t="n">
        <x:v>46182</x:v>
      </x:c>
      <x:c r="F314" t="n">
        <x:f>TODAY()-E314</x:f>
        <x:v>53</x:v>
      </x:c>
      <x:c r="G314" s="7" t="n">
        <x:f>SUMIF($A$5:$A$563,A314,$D$5:$D$563)</x:f>
        <x:v>61020</x:v>
      </x:c>
    </x:row>
    <x:row r="315">
      <x:c r="A315" t="str">
        <x:v>Salem Pipe Traders</x:v>
      </x:c>
      <x:c r="B315" t="str">
        <x:v>NA/1752/26-27</x:v>
      </x:c>
      <x:c r="C315" s="6" t="n">
        <x:v>46227</x:v>
      </x:c>
      <x:c r="D315" s="7" t="n">
        <x:v>2673</x:v>
      </x:c>
      <x:c r="E315" s="6" t="n">
        <x:v>46227</x:v>
      </x:c>
      <x:c r="F315" t="n">
        <x:f>TODAY()-E315</x:f>
        <x:v>8</x:v>
      </x:c>
      <x:c r="G315" s="7" t="n">
        <x:f>SUMIF($A$5:$A$563,A315,$D$5:$D$563)</x:f>
        <x:v>61020</x:v>
      </x:c>
    </x:row>
    <x:row r="316">
      <x:c r="A316" t="str">
        <x:v>Coimbatore Machinery &amp; Metal Mart</x:v>
      </x:c>
      <x:c r="B316" t="str">
        <x:v>NA/0216/26-27</x:v>
      </x:c>
      <x:c r="C316" s="6" t="n">
        <x:v>46128</x:v>
      </x:c>
      <x:c r="D316" s="7" t="n">
        <x:v>1127</x:v>
      </x:c>
      <x:c r="E316" s="6" t="n">
        <x:v>46128</x:v>
      </x:c>
      <x:c r="F316" t="n">
        <x:f>TODAY()-E316</x:f>
        <x:v>107</x:v>
      </x:c>
      <x:c r="G316" s="7" t="n">
        <x:f>SUMIF($A$5:$A$563,A316,$D$5:$D$563)</x:f>
        <x:v>2464</x:v>
      </x:c>
    </x:row>
    <x:row r="317">
      <x:c r="A317" t="str">
        <x:v>Coimbatore Machinery &amp; Metal Mart</x:v>
      </x:c>
      <x:c r="B317" t="str">
        <x:v>NA/0488/26-27</x:v>
      </x:c>
      <x:c r="C317" s="6" t="n">
        <x:v>46150</x:v>
      </x:c>
      <x:c r="D317" s="7" t="n">
        <x:v>1112</x:v>
      </x:c>
      <x:c r="E317" s="6" t="n">
        <x:v>46150</x:v>
      </x:c>
      <x:c r="F317" t="n">
        <x:f>TODAY()-E317</x:f>
        <x:v>85</x:v>
      </x:c>
      <x:c r="G317" s="7" t="n">
        <x:f>SUMIF($A$5:$A$563,A317,$D$5:$D$563)</x:f>
        <x:v>2464</x:v>
      </x:c>
    </x:row>
    <x:row r="318">
      <x:c r="A318" t="str">
        <x:v>Coimbatore Machinery &amp; Metal Mart</x:v>
      </x:c>
      <x:c r="B318" t="str">
        <x:v>NA/0562/26-27</x:v>
      </x:c>
      <x:c r="C318" s="6" t="n">
        <x:v>46156</x:v>
      </x:c>
      <x:c r="D318" s="7" t="n">
        <x:v>225</x:v>
      </x:c>
      <x:c r="E318" s="6" t="n">
        <x:v>46156</x:v>
      </x:c>
      <x:c r="F318" t="n">
        <x:f>TODAY()-E318</x:f>
        <x:v>79</x:v>
      </x:c>
      <x:c r="G318" s="7" t="n">
        <x:f>SUMIF($A$5:$A$563,A318,$D$5:$D$563)</x:f>
        <x:v>2464</x:v>
      </x:c>
    </x:row>
    <x:row r="319">
      <x:c r="A319" t="str">
        <x:v>Noor Enterprises</x:v>
      </x:c>
      <x:c r="B319" t="str">
        <x:v>NA/0287/26-27</x:v>
      </x:c>
      <x:c r="C319" s="6" t="n">
        <x:v>46133</x:v>
      </x:c>
      <x:c r="D319" s="7" t="n">
        <x:v>15000</x:v>
      </x:c>
      <x:c r="E319" s="6" t="n">
        <x:v>46133</x:v>
      </x:c>
      <x:c r="F319" t="n">
        <x:f>TODAY()-E319</x:f>
        <x:v>102</x:v>
      </x:c>
      <x:c r="G319" s="7" t="n">
        <x:f>SUMIF($A$5:$A$563,A319,$D$5:$D$563)</x:f>
        <x:v>28750</x:v>
      </x:c>
    </x:row>
    <x:row r="320">
      <x:c r="A320" t="str">
        <x:v>Noor Enterprises</x:v>
      </x:c>
      <x:c r="B320" t="str">
        <x:v>NA/0476/26-27</x:v>
      </x:c>
      <x:c r="C320" s="6" t="n">
        <x:v>46150</x:v>
      </x:c>
      <x:c r="D320" s="7" t="n">
        <x:v>4200</x:v>
      </x:c>
      <x:c r="E320" s="6" t="n">
        <x:v>46150</x:v>
      </x:c>
      <x:c r="F320" t="n">
        <x:f>TODAY()-E320</x:f>
        <x:v>85</x:v>
      </x:c>
      <x:c r="G320" s="7" t="n">
        <x:f>SUMIF($A$5:$A$563,A320,$D$5:$D$563)</x:f>
        <x:v>28750</x:v>
      </x:c>
    </x:row>
    <x:row r="321">
      <x:c r="A321" t="str">
        <x:v>Noor Enterprises</x:v>
      </x:c>
      <x:c r="B321" t="str">
        <x:v>NA/0925/26-27</x:v>
      </x:c>
      <x:c r="C321" s="6" t="n">
        <x:v>46177</x:v>
      </x:c>
      <x:c r="D321" s="7" t="n">
        <x:v>2650</x:v>
      </x:c>
      <x:c r="E321" s="6" t="n">
        <x:v>46177</x:v>
      </x:c>
      <x:c r="F321" t="n">
        <x:f>TODAY()-E321</x:f>
        <x:v>58</x:v>
      </x:c>
      <x:c r="G321" s="7" t="n">
        <x:f>SUMIF($A$5:$A$563,A321,$D$5:$D$563)</x:f>
        <x:v>28750</x:v>
      </x:c>
    </x:row>
    <x:row r="322">
      <x:c r="A322" t="str">
        <x:v>Noor Enterprises</x:v>
      </x:c>
      <x:c r="B322" t="str">
        <x:v>NA/1154/26-27</x:v>
      </x:c>
      <x:c r="C322" s="6" t="n">
        <x:v>46188</x:v>
      </x:c>
      <x:c r="D322" s="7" t="n">
        <x:v>1300</x:v>
      </x:c>
      <x:c r="E322" s="6" t="n">
        <x:v>46188</x:v>
      </x:c>
      <x:c r="F322" t="n">
        <x:f>TODAY()-E322</x:f>
        <x:v>47</x:v>
      </x:c>
      <x:c r="G322" s="7" t="n">
        <x:f>SUMIF($A$5:$A$563,A322,$D$5:$D$563)</x:f>
        <x:v>28750</x:v>
      </x:c>
    </x:row>
    <x:row r="323">
      <x:c r="A323" t="str">
        <x:v>Noor Enterprises</x:v>
      </x:c>
      <x:c r="B323" t="str">
        <x:v>NA/1309/26-27</x:v>
      </x:c>
      <x:c r="C323" s="6" t="n">
        <x:v>46204</x:v>
      </x:c>
      <x:c r="D323" s="7" t="n">
        <x:v>5600</x:v>
      </x:c>
      <x:c r="E323" s="6" t="n">
        <x:v>46204</x:v>
      </x:c>
      <x:c r="F323" t="n">
        <x:f>TODAY()-E323</x:f>
        <x:v>31</x:v>
      </x:c>
      <x:c r="G323" s="7" t="n">
        <x:f>SUMIF($A$5:$A$563,A323,$D$5:$D$563)</x:f>
        <x:v>28750</x:v>
      </x:c>
    </x:row>
    <x:row r="324">
      <x:c r="A324" t="str">
        <x:v>MS Trading Company</x:v>
      </x:c>
      <x:c r="B324" t="str">
        <x:v>NA/0296/26-27</x:v>
      </x:c>
      <x:c r="C324" s="6" t="n">
        <x:v>46136</x:v>
      </x:c>
      <x:c r="D324" s="7" t="n">
        <x:v>1623</x:v>
      </x:c>
      <x:c r="E324" s="6" t="n">
        <x:v>46136</x:v>
      </x:c>
      <x:c r="F324" t="n">
        <x:f>TODAY()-E324</x:f>
        <x:v>99</x:v>
      </x:c>
      <x:c r="G324" s="7" t="n">
        <x:f>SUMIF($A$5:$A$563,A324,$D$5:$D$563)</x:f>
        <x:v>1623</x:v>
      </x:c>
    </x:row>
    <x:row r="325">
      <x:c r="A325" t="str">
        <x:v>South India Trading Agencies</x:v>
      </x:c>
      <x:c r="B325" t="str">
        <x:v>NA/0361/26-27</x:v>
      </x:c>
      <x:c r="C325" s="6" t="n">
        <x:v>46140</x:v>
      </x:c>
      <x:c r="D325" s="7" t="n">
        <x:v>255</x:v>
      </x:c>
      <x:c r="E325" s="6" t="n">
        <x:v>46140</x:v>
      </x:c>
      <x:c r="F325" t="n">
        <x:f>TODAY()-E325</x:f>
        <x:v>95</x:v>
      </x:c>
      <x:c r="G325" s="7" t="n">
        <x:f>SUMIF($A$5:$A$563,A325,$D$5:$D$563)</x:f>
        <x:v>594</x:v>
      </x:c>
    </x:row>
    <x:row r="326">
      <x:c r="A326" t="str">
        <x:v>South India Trading Agencies</x:v>
      </x:c>
      <x:c r="B326" t="str">
        <x:v>NA/1525/26-27</x:v>
      </x:c>
      <x:c r="C326" s="6" t="n">
        <x:v>46216</x:v>
      </x:c>
      <x:c r="D326" s="7" t="n">
        <x:v>339</x:v>
      </x:c>
      <x:c r="E326" s="6" t="n">
        <x:v>46216</x:v>
      </x:c>
      <x:c r="F326" t="n">
        <x:f>TODAY()-E326</x:f>
        <x:v>19</x:v>
      </x:c>
      <x:c r="G326" s="7" t="n">
        <x:f>SUMIF($A$5:$A$563,A326,$D$5:$D$563)</x:f>
        <x:v>594</x:v>
      </x:c>
    </x:row>
    <x:row r="327">
      <x:c r="A327" t="str">
        <x:v>Modern Enterprises</x:v>
      </x:c>
      <x:c r="B327" t="str">
        <x:v>NA/0414/26-27</x:v>
      </x:c>
      <x:c r="C327" s="6" t="n">
        <x:v>46144</x:v>
      </x:c>
      <x:c r="D327" s="7" t="n">
        <x:v>4000</x:v>
      </x:c>
      <x:c r="E327" s="6" t="n">
        <x:v>46144</x:v>
      </x:c>
      <x:c r="F327" t="n">
        <x:f>TODAY()-E327</x:f>
        <x:v>91</x:v>
      </x:c>
      <x:c r="G327" s="7" t="n">
        <x:f>SUMIF($A$5:$A$563,A327,$D$5:$D$563)</x:f>
        <x:v>112332</x:v>
      </x:c>
    </x:row>
    <x:row r="328">
      <x:c r="A328" t="str">
        <x:v>Modern Enterprises</x:v>
      </x:c>
      <x:c r="B328" t="str">
        <x:v>NA/0443/26-27</x:v>
      </x:c>
      <x:c r="C328" s="6" t="n">
        <x:v>46148</x:v>
      </x:c>
      <x:c r="D328" s="7" t="n">
        <x:v>42010</x:v>
      </x:c>
      <x:c r="E328" s="6" t="n">
        <x:v>46148</x:v>
      </x:c>
      <x:c r="F328" t="n">
        <x:f>TODAY()-E328</x:f>
        <x:v>87</x:v>
      </x:c>
      <x:c r="G328" s="7" t="n">
        <x:f>SUMIF($A$5:$A$563,A328,$D$5:$D$563)</x:f>
        <x:v>112332</x:v>
      </x:c>
    </x:row>
    <x:row r="329">
      <x:c r="A329" t="str">
        <x:v>Modern Enterprises</x:v>
      </x:c>
      <x:c r="B329" t="str">
        <x:v>NA/0504/26-27</x:v>
      </x:c>
      <x:c r="C329" s="6" t="n">
        <x:v>46151</x:v>
      </x:c>
      <x:c r="D329" s="7" t="n">
        <x:v>880</x:v>
      </x:c>
      <x:c r="E329" s="6" t="n">
        <x:v>46151</x:v>
      </x:c>
      <x:c r="F329" t="n">
        <x:f>TODAY()-E329</x:f>
        <x:v>84</x:v>
      </x:c>
      <x:c r="G329" s="7" t="n">
        <x:f>SUMIF($A$5:$A$563,A329,$D$5:$D$563)</x:f>
        <x:v>112332</x:v>
      </x:c>
    </x:row>
    <x:row r="330">
      <x:c r="A330" t="str">
        <x:v>Modern Enterprises</x:v>
      </x:c>
      <x:c r="B330" t="str">
        <x:v>NA/0547/26-27</x:v>
      </x:c>
      <x:c r="C330" s="6" t="n">
        <x:v>46154</x:v>
      </x:c>
      <x:c r="D330" s="7" t="n">
        <x:v>14091</x:v>
      </x:c>
      <x:c r="E330" s="6" t="n">
        <x:v>46154</x:v>
      </x:c>
      <x:c r="F330" t="n">
        <x:f>TODAY()-E330</x:f>
        <x:v>81</x:v>
      </x:c>
      <x:c r="G330" s="7" t="n">
        <x:f>SUMIF($A$5:$A$563,A330,$D$5:$D$563)</x:f>
        <x:v>112332</x:v>
      </x:c>
    </x:row>
    <x:row r="331">
      <x:c r="A331" t="str">
        <x:v>Modern Enterprises</x:v>
      </x:c>
      <x:c r="B331" t="str">
        <x:v>NA/0725/26-27</x:v>
      </x:c>
      <x:c r="C331" s="6" t="n">
        <x:v>46165</x:v>
      </x:c>
      <x:c r="D331" s="7" t="n">
        <x:v>12436</x:v>
      </x:c>
      <x:c r="E331" s="6" t="n">
        <x:v>46165</x:v>
      </x:c>
      <x:c r="F331" t="n">
        <x:f>TODAY()-E331</x:f>
        <x:v>70</x:v>
      </x:c>
      <x:c r="G331" s="7" t="n">
        <x:f>SUMIF($A$5:$A$563,A331,$D$5:$D$563)</x:f>
        <x:v>112332</x:v>
      </x:c>
    </x:row>
    <x:row r="332">
      <x:c r="A332" t="str">
        <x:v>Modern Enterprises</x:v>
      </x:c>
      <x:c r="B332" t="str">
        <x:v>NA/0834/26-27</x:v>
      </x:c>
      <x:c r="C332" s="6" t="n">
        <x:v>46172</x:v>
      </x:c>
      <x:c r="D332" s="7" t="n">
        <x:v>4257</x:v>
      </x:c>
      <x:c r="E332" s="6" t="n">
        <x:v>46172</x:v>
      </x:c>
      <x:c r="F332" t="n">
        <x:f>TODAY()-E332</x:f>
        <x:v>63</x:v>
      </x:c>
      <x:c r="G332" s="7" t="n">
        <x:f>SUMIF($A$5:$A$563,A332,$D$5:$D$563)</x:f>
        <x:v>112332</x:v>
      </x:c>
    </x:row>
    <x:row r="333">
      <x:c r="A333" t="str">
        <x:v>Modern Enterprises</x:v>
      </x:c>
      <x:c r="B333" t="str">
        <x:v>NA/0927/26-27</x:v>
      </x:c>
      <x:c r="C333" s="6" t="n">
        <x:v>46177</x:v>
      </x:c>
      <x:c r="D333" s="7" t="n">
        <x:v>22838</x:v>
      </x:c>
      <x:c r="E333" s="6" t="n">
        <x:v>46177</x:v>
      </x:c>
      <x:c r="F333" t="n">
        <x:f>TODAY()-E333</x:f>
        <x:v>58</x:v>
      </x:c>
      <x:c r="G333" s="7" t="n">
        <x:f>SUMIF($A$5:$A$563,A333,$D$5:$D$563)</x:f>
        <x:v>112332</x:v>
      </x:c>
    </x:row>
    <x:row r="334">
      <x:c r="A334" t="str">
        <x:v>Modern Enterprises</x:v>
      </x:c>
      <x:c r="B334" t="str">
        <x:v>NA/0967/26-27</x:v>
      </x:c>
      <x:c r="C334" s="6" t="n">
        <x:v>46179</x:v>
      </x:c>
      <x:c r="D334" s="7" t="n">
        <x:v>2250</x:v>
      </x:c>
      <x:c r="E334" s="6" t="n">
        <x:v>46179</x:v>
      </x:c>
      <x:c r="F334" t="n">
        <x:f>TODAY()-E334</x:f>
        <x:v>56</x:v>
      </x:c>
      <x:c r="G334" s="7" t="n">
        <x:f>SUMIF($A$5:$A$563,A334,$D$5:$D$563)</x:f>
        <x:v>112332</x:v>
      </x:c>
    </x:row>
    <x:row r="335">
      <x:c r="A335" t="str">
        <x:v>Modern Enterprises</x:v>
      </x:c>
      <x:c r="B335" t="str">
        <x:v>NA/1119/26-27</x:v>
      </x:c>
      <x:c r="C335" s="6" t="n">
        <x:v>46186</x:v>
      </x:c>
      <x:c r="D335" s="7" t="n">
        <x:v>1598</x:v>
      </x:c>
      <x:c r="E335" s="6" t="n">
        <x:v>46186</x:v>
      </x:c>
      <x:c r="F335" t="n">
        <x:f>TODAY()-E335</x:f>
        <x:v>49</x:v>
      </x:c>
      <x:c r="G335" s="7" t="n">
        <x:f>SUMIF($A$5:$A$563,A335,$D$5:$D$563)</x:f>
        <x:v>112332</x:v>
      </x:c>
    </x:row>
    <x:row r="336">
      <x:c r="A336" t="str">
        <x:v>Modern Enterprises</x:v>
      </x:c>
      <x:c r="B336" t="str">
        <x:v>NA/1572/26-27</x:v>
      </x:c>
      <x:c r="C336" s="6" t="n">
        <x:v>46218</x:v>
      </x:c>
      <x:c r="D336" s="7" t="n">
        <x:v>5963</x:v>
      </x:c>
      <x:c r="E336" s="6" t="n">
        <x:v>46218</x:v>
      </x:c>
      <x:c r="F336" t="n">
        <x:f>TODAY()-E336</x:f>
        <x:v>17</x:v>
      </x:c>
      <x:c r="G336" s="7" t="n">
        <x:f>SUMIF($A$5:$A$563,A336,$D$5:$D$563)</x:f>
        <x:v>112332</x:v>
      </x:c>
    </x:row>
    <x:row r="337">
      <x:c r="A337" t="str">
        <x:v>Modern Enterprises</x:v>
      </x:c>
      <x:c r="B337" t="str">
        <x:v>NA/1691/26-27</x:v>
      </x:c>
      <x:c r="C337" s="6" t="n">
        <x:v>46224</x:v>
      </x:c>
      <x:c r="D337" s="7" t="n">
        <x:v>2009</x:v>
      </x:c>
      <x:c r="E337" s="6" t="n">
        <x:v>46224</x:v>
      </x:c>
      <x:c r="F337" t="n">
        <x:f>TODAY()-E337</x:f>
        <x:v>11</x:v>
      </x:c>
      <x:c r="G337" s="7" t="n">
        <x:f>SUMIF($A$5:$A$563,A337,$D$5:$D$563)</x:f>
        <x:v>112332</x:v>
      </x:c>
    </x:row>
    <x:row r="338">
      <x:c r="A338" t="str">
        <x:v>IAMAX Precision India Pvt Ltd</x:v>
      </x:c>
      <x:c r="B338" t="str">
        <x:v>NA/0435/26-27</x:v>
      </x:c>
      <x:c r="C338" s="6" t="n">
        <x:v>46147</x:v>
      </x:c>
      <x:c r="D338" s="7" t="n">
        <x:v>11144</x:v>
      </x:c>
      <x:c r="E338" s="6" t="n">
        <x:v>46147</x:v>
      </x:c>
      <x:c r="F338" t="n">
        <x:f>TODAY()-E338</x:f>
        <x:v>88</x:v>
      </x:c>
      <x:c r="G338" s="7" t="n">
        <x:f>SUMIF($A$5:$A$563,A338,$D$5:$D$563)</x:f>
        <x:v>66432</x:v>
      </x:c>
    </x:row>
    <x:row r="339">
      <x:c r="A339" t="str">
        <x:v>IAMAX Precision India Pvt Ltd</x:v>
      </x:c>
      <x:c r="B339" t="str">
        <x:v>NA/0682/26-27</x:v>
      </x:c>
      <x:c r="C339" s="6" t="n">
        <x:v>46163</x:v>
      </x:c>
      <x:c r="D339" s="7" t="n">
        <x:v>13937</x:v>
      </x:c>
      <x:c r="E339" s="6" t="n">
        <x:v>46163</x:v>
      </x:c>
      <x:c r="F339" t="n">
        <x:f>TODAY()-E339</x:f>
        <x:v>72</x:v>
      </x:c>
      <x:c r="G339" s="7" t="n">
        <x:f>SUMIF($A$5:$A$563,A339,$D$5:$D$563)</x:f>
        <x:v>66432</x:v>
      </x:c>
    </x:row>
    <x:row r="340">
      <x:c r="A340" t="str">
        <x:v>IAMAX Precision India Pvt Ltd</x:v>
      </x:c>
      <x:c r="B340" t="str">
        <x:v>NA/1036/26-27</x:v>
      </x:c>
      <x:c r="C340" s="6" t="n">
        <x:v>46183</x:v>
      </x:c>
      <x:c r="D340" s="7" t="n">
        <x:v>8511</x:v>
      </x:c>
      <x:c r="E340" s="6" t="n">
        <x:v>46183</x:v>
      </x:c>
      <x:c r="F340" t="n">
        <x:f>TODAY()-E340</x:f>
        <x:v>52</x:v>
      </x:c>
      <x:c r="G340" s="7" t="n">
        <x:f>SUMIF($A$5:$A$563,A340,$D$5:$D$563)</x:f>
        <x:v>66432</x:v>
      </x:c>
    </x:row>
    <x:row r="341">
      <x:c r="A341" t="str">
        <x:v>IAMAX Precision India Pvt Ltd</x:v>
      </x:c>
      <x:c r="B341" t="str">
        <x:v>NA/1301/26-27</x:v>
      </x:c>
      <x:c r="C341" s="6" t="n">
        <x:v>46204</x:v>
      </x:c>
      <x:c r="D341" s="7" t="n">
        <x:v>11621</x:v>
      </x:c>
      <x:c r="E341" s="6" t="n">
        <x:v>46204</x:v>
      </x:c>
      <x:c r="F341" t="n">
        <x:f>TODAY()-E341</x:f>
        <x:v>31</x:v>
      </x:c>
      <x:c r="G341" s="7" t="n">
        <x:f>SUMIF($A$5:$A$563,A341,$D$5:$D$563)</x:f>
        <x:v>66432</x:v>
      </x:c>
    </x:row>
    <x:row r="342">
      <x:c r="A342" t="str">
        <x:v>IAMAX Precision India Pvt Ltd</x:v>
      </x:c>
      <x:c r="B342" t="str">
        <x:v>NA/1302/26-27</x:v>
      </x:c>
      <x:c r="C342" s="6" t="n">
        <x:v>46204</x:v>
      </x:c>
      <x:c r="D342" s="7" t="n">
        <x:v>1323</x:v>
      </x:c>
      <x:c r="E342" s="6" t="n">
        <x:v>46204</x:v>
      </x:c>
      <x:c r="F342" t="n">
        <x:f>TODAY()-E342</x:f>
        <x:v>31</x:v>
      </x:c>
      <x:c r="G342" s="7" t="n">
        <x:f>SUMIF($A$5:$A$563,A342,$D$5:$D$563)</x:f>
        <x:v>66432</x:v>
      </x:c>
    </x:row>
    <x:row r="343">
      <x:c r="A343" t="str">
        <x:v>IAMAX Precision India Pvt Ltd</x:v>
      </x:c>
      <x:c r="B343" t="str">
        <x:v>NA/1805/26-27</x:v>
      </x:c>
      <x:c r="C343" s="6" t="n">
        <x:v>46230</x:v>
      </x:c>
      <x:c r="D343" s="7" t="n">
        <x:v>19581</x:v>
      </x:c>
      <x:c r="E343" s="6" t="n">
        <x:v>46230</x:v>
      </x:c>
      <x:c r="F343" t="n">
        <x:f>TODAY()-E343</x:f>
        <x:v>5</x:v>
      </x:c>
      <x:c r="G343" s="7" t="n">
        <x:f>SUMIF($A$5:$A$563,A343,$D$5:$D$563)</x:f>
        <x:v>66432</x:v>
      </x:c>
    </x:row>
    <x:row r="344">
      <x:c r="A344" t="str">
        <x:v>IAMAX Precision India Pvt Ltd</x:v>
      </x:c>
      <x:c r="B344" t="str">
        <x:v>NA/1809/26-27</x:v>
      </x:c>
      <x:c r="C344" s="6" t="n">
        <x:v>46230</x:v>
      </x:c>
      <x:c r="D344" s="7" t="n">
        <x:v>315</x:v>
      </x:c>
      <x:c r="E344" s="6" t="n">
        <x:v>46230</x:v>
      </x:c>
      <x:c r="F344" t="n">
        <x:f>TODAY()-E344</x:f>
        <x:v>5</x:v>
      </x:c>
      <x:c r="G344" s="7" t="n">
        <x:f>SUMIF($A$5:$A$563,A344,$D$5:$D$563)</x:f>
        <x:v>66432</x:v>
      </x:c>
    </x:row>
    <x:row r="345">
      <x:c r="A345" t="str">
        <x:v>Hirani Hardware</x:v>
      </x:c>
      <x:c r="B345" t="str">
        <x:v>NA/0542/26-27</x:v>
      </x:c>
      <x:c r="C345" s="6" t="n">
        <x:v>46154</x:v>
      </x:c>
      <x:c r="D345" s="7" t="n">
        <x:v>1001</x:v>
      </x:c>
      <x:c r="E345" s="6" t="n">
        <x:v>46154</x:v>
      </x:c>
      <x:c r="F345" t="n">
        <x:f>TODAY()-E345</x:f>
        <x:v>81</x:v>
      </x:c>
      <x:c r="G345" s="7" t="n">
        <x:f>SUMIF($A$5:$A$563,A345,$D$5:$D$563)</x:f>
        <x:v>1001</x:v>
      </x:c>
    </x:row>
    <x:row r="346">
      <x:c r="A346" t="str">
        <x:v>South India Trading Company</x:v>
      </x:c>
      <x:c r="B346" t="str">
        <x:v>NA/0557/26-27</x:v>
      </x:c>
      <x:c r="C346" s="6" t="n">
        <x:v>46156</x:v>
      </x:c>
      <x:c r="D346" s="7" t="n">
        <x:v>1760</x:v>
      </x:c>
      <x:c r="E346" s="6" t="n">
        <x:v>46156</x:v>
      </x:c>
      <x:c r="F346" t="n">
        <x:f>TODAY()-E346</x:f>
        <x:v>79</x:v>
      </x:c>
      <x:c r="G346" s="7" t="n">
        <x:f>SUMIF($A$5:$A$563,A346,$D$5:$D$563)</x:f>
        <x:v>2092</x:v>
      </x:c>
    </x:row>
    <x:row r="347">
      <x:c r="A347" t="str">
        <x:v>South India Trading Company</x:v>
      </x:c>
      <x:c r="B347" t="str">
        <x:v>NA/1451/26-27</x:v>
      </x:c>
      <x:c r="C347" s="6" t="n">
        <x:v>46212</x:v>
      </x:c>
      <x:c r="D347" s="7" t="n">
        <x:v>332</x:v>
      </x:c>
      <x:c r="E347" s="6" t="n">
        <x:v>46212</x:v>
      </x:c>
      <x:c r="F347" t="n">
        <x:f>TODAY()-E347</x:f>
        <x:v>23</x:v>
      </x:c>
      <x:c r="G347" s="7" t="n">
        <x:f>SUMIF($A$5:$A$563,A347,$D$5:$D$563)</x:f>
        <x:v>2092</x:v>
      </x:c>
    </x:row>
    <x:row r="348">
      <x:c r="A348" t="str">
        <x:v>BEST MACHINERY SUPPLIER</x:v>
      </x:c>
      <x:c r="B348" t="str">
        <x:v>NA/0610/26-27</x:v>
      </x:c>
      <x:c r="C348" s="6" t="n">
        <x:v>46158</x:v>
      </x:c>
      <x:c r="D348" s="7" t="n">
        <x:v>29174</x:v>
      </x:c>
      <x:c r="E348" s="6" t="n">
        <x:v>46158</x:v>
      </x:c>
      <x:c r="F348" t="n">
        <x:f>TODAY()-E348</x:f>
        <x:v>77</x:v>
      </x:c>
      <x:c r="G348" s="7" t="n">
        <x:f>SUMIF($A$5:$A$563,A348,$D$5:$D$563)</x:f>
        <x:v>66140</x:v>
      </x:c>
    </x:row>
    <x:row r="349">
      <x:c r="A349" t="str">
        <x:v>BEST MACHINERY SUPPLIER</x:v>
      </x:c>
      <x:c r="B349" t="str">
        <x:v>NA/0728/26-27</x:v>
      </x:c>
      <x:c r="C349" s="6" t="n">
        <x:v>46165</x:v>
      </x:c>
      <x:c r="D349" s="7" t="n">
        <x:v>231</x:v>
      </x:c>
      <x:c r="E349" s="6" t="n">
        <x:v>46165</x:v>
      </x:c>
      <x:c r="F349" t="n">
        <x:f>TODAY()-E349</x:f>
        <x:v>70</x:v>
      </x:c>
      <x:c r="G349" s="7" t="n">
        <x:f>SUMIF($A$5:$A$563,A349,$D$5:$D$563)</x:f>
        <x:v>66140</x:v>
      </x:c>
    </x:row>
    <x:row r="350">
      <x:c r="A350" t="str">
        <x:v>BEST MACHINERY SUPPLIER</x:v>
      </x:c>
      <x:c r="B350" t="str">
        <x:v>NA/0831/26-27</x:v>
      </x:c>
      <x:c r="C350" s="6" t="n">
        <x:v>46172</x:v>
      </x:c>
      <x:c r="D350" s="7" t="n">
        <x:v>24194</x:v>
      </x:c>
      <x:c r="E350" s="6" t="n">
        <x:v>46172</x:v>
      </x:c>
      <x:c r="F350" t="n">
        <x:f>TODAY()-E350</x:f>
        <x:v>63</x:v>
      </x:c>
      <x:c r="G350" s="7" t="n">
        <x:f>SUMIF($A$5:$A$563,A350,$D$5:$D$563)</x:f>
        <x:v>66140</x:v>
      </x:c>
    </x:row>
    <x:row r="351">
      <x:c r="A351" t="str">
        <x:v>BEST MACHINERY SUPPLIER</x:v>
      </x:c>
      <x:c r="B351" t="str">
        <x:v>NA/0976/26-27</x:v>
      </x:c>
      <x:c r="C351" s="6" t="n">
        <x:v>46179</x:v>
      </x:c>
      <x:c r="D351" s="7" t="n">
        <x:v>830</x:v>
      </x:c>
      <x:c r="E351" s="6" t="n">
        <x:v>46179</x:v>
      </x:c>
      <x:c r="F351" t="n">
        <x:f>TODAY()-E351</x:f>
        <x:v>56</x:v>
      </x:c>
      <x:c r="G351" s="7" t="n">
        <x:f>SUMIF($A$5:$A$563,A351,$D$5:$D$563)</x:f>
        <x:v>66140</x:v>
      </x:c>
    </x:row>
    <x:row r="352">
      <x:c r="A352" t="str">
        <x:v>BEST MACHINERY SUPPLIER</x:v>
      </x:c>
      <x:c r="B352" t="str">
        <x:v>NA/1114/26-27</x:v>
      </x:c>
      <x:c r="C352" s="6" t="n">
        <x:v>46186</x:v>
      </x:c>
      <x:c r="D352" s="7" t="n">
        <x:v>1350</x:v>
      </x:c>
      <x:c r="E352" s="6" t="n">
        <x:v>46186</x:v>
      </x:c>
      <x:c r="F352" t="n">
        <x:f>TODAY()-E352</x:f>
        <x:v>49</x:v>
      </x:c>
      <x:c r="G352" s="7" t="n">
        <x:f>SUMIF($A$5:$A$563,A352,$D$5:$D$563)</x:f>
        <x:v>66140</x:v>
      </x:c>
    </x:row>
    <x:row r="353">
      <x:c r="A353" t="str">
        <x:v>BEST MACHINERY SUPPLIER</x:v>
      </x:c>
      <x:c r="B353" t="str">
        <x:v>NA/1236/26-27</x:v>
      </x:c>
      <x:c r="C353" s="6" t="n">
        <x:v>46200</x:v>
      </x:c>
      <x:c r="D353" s="7" t="n">
        <x:v>4725</x:v>
      </x:c>
      <x:c r="E353" s="6" t="n">
        <x:v>46200</x:v>
      </x:c>
      <x:c r="F353" t="n">
        <x:f>TODAY()-E353</x:f>
        <x:v>35</x:v>
      </x:c>
      <x:c r="G353" s="7" t="n">
        <x:f>SUMIF($A$5:$A$563,A353,$D$5:$D$563)</x:f>
        <x:v>66140</x:v>
      </x:c>
    </x:row>
    <x:row r="354">
      <x:c r="A354" t="str">
        <x:v>BEST MACHINERY SUPPLIER</x:v>
      </x:c>
      <x:c r="B354" t="str">
        <x:v>NA/1367/26-27</x:v>
      </x:c>
      <x:c r="C354" s="6" t="n">
        <x:v>46207</x:v>
      </x:c>
      <x:c r="D354" s="7" t="n">
        <x:v>991</x:v>
      </x:c>
      <x:c r="E354" s="6" t="n">
        <x:v>46207</x:v>
      </x:c>
      <x:c r="F354" t="n">
        <x:f>TODAY()-E354</x:f>
        <x:v>28</x:v>
      </x:c>
      <x:c r="G354" s="7" t="n">
        <x:f>SUMIF($A$5:$A$563,A354,$D$5:$D$563)</x:f>
        <x:v>66140</x:v>
      </x:c>
    </x:row>
    <x:row r="355">
      <x:c r="A355" t="str">
        <x:v>BEST MACHINERY SUPPLIER</x:v>
      </x:c>
      <x:c r="B355" t="str">
        <x:v>NA/1636/26-27</x:v>
      </x:c>
      <x:c r="C355" s="6" t="n">
        <x:v>46221</x:v>
      </x:c>
      <x:c r="D355" s="7" t="n">
        <x:v>1910</x:v>
      </x:c>
      <x:c r="E355" s="6" t="n">
        <x:v>46221</x:v>
      </x:c>
      <x:c r="F355" t="n">
        <x:f>TODAY()-E355</x:f>
        <x:v>14</x:v>
      </x:c>
      <x:c r="G355" s="7" t="n">
        <x:f>SUMIF($A$5:$A$563,A355,$D$5:$D$563)</x:f>
        <x:v>66140</x:v>
      </x:c>
    </x:row>
    <x:row r="356">
      <x:c r="A356" t="str">
        <x:v>BEST MACHINERY SUPPLIER</x:v>
      </x:c>
      <x:c r="B356" t="str">
        <x:v>NA/1770/26-27</x:v>
      </x:c>
      <x:c r="C356" s="6" t="n">
        <x:v>46228</x:v>
      </x:c>
      <x:c r="D356" s="7" t="n">
        <x:v>1875</x:v>
      </x:c>
      <x:c r="E356" s="6" t="n">
        <x:v>46228</x:v>
      </x:c>
      <x:c r="F356" t="n">
        <x:f>TODAY()-E356</x:f>
        <x:v>7</x:v>
      </x:c>
      <x:c r="G356" s="7" t="n">
        <x:f>SUMIF($A$5:$A$563,A356,$D$5:$D$563)</x:f>
        <x:v>66140</x:v>
      </x:c>
    </x:row>
    <x:row r="357">
      <x:c r="A357" t="str">
        <x:v>BEST MACHINERY SUPPLIER</x:v>
      </x:c>
      <x:c r="B357" t="str">
        <x:v>NA/1896/26-27</x:v>
      </x:c>
      <x:c r="C357" s="6" t="n">
        <x:v>46235</x:v>
      </x:c>
      <x:c r="D357" s="7" t="n">
        <x:v>860</x:v>
      </x:c>
      <x:c r="E357" s="6" t="n">
        <x:v>46235</x:v>
      </x:c>
      <x:c r="F357" t="n">
        <x:f>TODAY()-E357</x:f>
        <x:v>0</x:v>
      </x:c>
      <x:c r="G357" s="7" t="n">
        <x:f>SUMIF($A$5:$A$563,A357,$D$5:$D$563)</x:f>
        <x:v>66140</x:v>
      </x:c>
    </x:row>
    <x:row r="358">
      <x:c r="A358" t="str">
        <x:v>Pioneer Engineering</x:v>
      </x:c>
      <x:c r="B358" t="str">
        <x:v>NA/0601/26-27</x:v>
      </x:c>
      <x:c r="C358" s="6" t="n">
        <x:v>46158</x:v>
      </x:c>
      <x:c r="D358" s="7" t="n">
        <x:v>17175</x:v>
      </x:c>
      <x:c r="E358" s="6" t="n">
        <x:v>46158</x:v>
      </x:c>
      <x:c r="F358" t="n">
        <x:f>TODAY()-E358</x:f>
        <x:v>77</x:v>
      </x:c>
      <x:c r="G358" s="7" t="n">
        <x:f>SUMIF($A$5:$A$563,A358,$D$5:$D$563)</x:f>
        <x:v>17175</x:v>
      </x:c>
    </x:row>
    <x:row r="359">
      <x:c r="A359" t="str">
        <x:v>PRS AGENCIES</x:v>
      </x:c>
      <x:c r="B359" t="str">
        <x:v>NA/0627/26-27</x:v>
      </x:c>
      <x:c r="C359" s="6" t="n">
        <x:v>46158</x:v>
      </x:c>
      <x:c r="D359" s="7" t="n">
        <x:v>1671</x:v>
      </x:c>
      <x:c r="E359" s="6" t="n">
        <x:v>46158</x:v>
      </x:c>
      <x:c r="F359" t="n">
        <x:f>TODAY()-E359</x:f>
        <x:v>77</x:v>
      </x:c>
      <x:c r="G359" s="7" t="n">
        <x:f>SUMIF($A$5:$A$563,A359,$D$5:$D$563)</x:f>
        <x:v>1671</x:v>
      </x:c>
    </x:row>
    <x:row r="360">
      <x:c r="A360" t="str">
        <x:v>Lemniscate Associates</x:v>
      </x:c>
      <x:c r="B360" t="str">
        <x:v>NA/0671/26-27</x:v>
      </x:c>
      <x:c r="C360" s="6" t="n">
        <x:v>46162</x:v>
      </x:c>
      <x:c r="D360" s="7" t="n">
        <x:v>720</x:v>
      </x:c>
      <x:c r="E360" s="6" t="n">
        <x:v>46162</x:v>
      </x:c>
      <x:c r="F360" t="n">
        <x:f>TODAY()-E360</x:f>
        <x:v>73</x:v>
      </x:c>
      <x:c r="G360" s="7" t="n">
        <x:f>SUMIF($A$5:$A$563,A360,$D$5:$D$563)</x:f>
        <x:v>8114</x:v>
      </x:c>
    </x:row>
    <x:row r="361">
      <x:c r="A361" t="str">
        <x:v>Lemniscate Associates</x:v>
      </x:c>
      <x:c r="B361" t="str">
        <x:v>NA/0879/26-27</x:v>
      </x:c>
      <x:c r="C361" s="6" t="n">
        <x:v>46175</x:v>
      </x:c>
      <x:c r="D361" s="7" t="n">
        <x:v>1057</x:v>
      </x:c>
      <x:c r="E361" s="6" t="n">
        <x:v>46175</x:v>
      </x:c>
      <x:c r="F361" t="n">
        <x:f>TODAY()-E361</x:f>
        <x:v>60</x:v>
      </x:c>
      <x:c r="G361" s="7" t="n">
        <x:f>SUMIF($A$5:$A$563,A361,$D$5:$D$563)</x:f>
        <x:v>8114</x:v>
      </x:c>
    </x:row>
    <x:row r="362">
      <x:c r="A362" t="str">
        <x:v>Lemniscate Associates</x:v>
      </x:c>
      <x:c r="B362" t="str">
        <x:v>NA/1007/26-27</x:v>
      </x:c>
      <x:c r="C362" s="6" t="n">
        <x:v>46181</x:v>
      </x:c>
      <x:c r="D362" s="7" t="n">
        <x:v>2420</x:v>
      </x:c>
      <x:c r="E362" s="6" t="n">
        <x:v>46181</x:v>
      </x:c>
      <x:c r="F362" t="n">
        <x:f>TODAY()-E362</x:f>
        <x:v>54</x:v>
      </x:c>
      <x:c r="G362" s="7" t="n">
        <x:f>SUMIF($A$5:$A$563,A362,$D$5:$D$563)</x:f>
        <x:v>8114</x:v>
      </x:c>
    </x:row>
    <x:row r="363">
      <x:c r="A363" t="str">
        <x:v>Lemniscate Associates</x:v>
      </x:c>
      <x:c r="B363" t="str">
        <x:v>NA/1366/26-27</x:v>
      </x:c>
      <x:c r="C363" s="6" t="n">
        <x:v>46207</x:v>
      </x:c>
      <x:c r="D363" s="7" t="n">
        <x:v>2160</x:v>
      </x:c>
      <x:c r="E363" s="6" t="n">
        <x:v>46207</x:v>
      </x:c>
      <x:c r="F363" t="n">
        <x:f>TODAY()-E363</x:f>
        <x:v>28</x:v>
      </x:c>
      <x:c r="G363" s="7" t="n">
        <x:f>SUMIF($A$5:$A$563,A363,$D$5:$D$563)</x:f>
        <x:v>8114</x:v>
      </x:c>
    </x:row>
    <x:row r="364">
      <x:c r="A364" t="str">
        <x:v>Lemniscate Associates</x:v>
      </x:c>
      <x:c r="B364" t="str">
        <x:v>NA/1588/26-27</x:v>
      </x:c>
      <x:c r="C364" s="6" t="n">
        <x:v>46219</x:v>
      </x:c>
      <x:c r="D364" s="7" t="n">
        <x:v>1757</x:v>
      </x:c>
      <x:c r="E364" s="6" t="n">
        <x:v>46219</x:v>
      </x:c>
      <x:c r="F364" t="n">
        <x:f>TODAY()-E364</x:f>
        <x:v>16</x:v>
      </x:c>
      <x:c r="G364" s="7" t="n">
        <x:f>SUMIF($A$5:$A$563,A364,$D$5:$D$563)</x:f>
        <x:v>8114</x:v>
      </x:c>
    </x:row>
    <x:row r="365">
      <x:c r="A365" t="str">
        <x:v>Sardha Enterprises</x:v>
      </x:c>
      <x:c r="B365" t="str">
        <x:v>NA/0678/26-27</x:v>
      </x:c>
      <x:c r="C365" s="6" t="n">
        <x:v>46163</x:v>
      </x:c>
      <x:c r="D365" s="7" t="n">
        <x:v>620</x:v>
      </x:c>
      <x:c r="E365" s="6" t="n">
        <x:v>46163</x:v>
      </x:c>
      <x:c r="F365" t="n">
        <x:f>TODAY()-E365</x:f>
        <x:v>72</x:v>
      </x:c>
      <x:c r="G365" s="7" t="n">
        <x:f>SUMIF($A$5:$A$563,A365,$D$5:$D$563)</x:f>
        <x:v>1659</x:v>
      </x:c>
    </x:row>
    <x:row r="366">
      <x:c r="A366" t="str">
        <x:v>Sardha Enterprises</x:v>
      </x:c>
      <x:c r="B366" t="str">
        <x:v>NA/1837/26-27</x:v>
      </x:c>
      <x:c r="C366" s="6" t="n">
        <x:v>46232</x:v>
      </x:c>
      <x:c r="D366" s="7" t="n">
        <x:v>1039</x:v>
      </x:c>
      <x:c r="E366" s="6" t="n">
        <x:v>46232</x:v>
      </x:c>
      <x:c r="F366" t="n">
        <x:f>TODAY()-E366</x:f>
        <x:v>3</x:v>
      </x:c>
      <x:c r="G366" s="7" t="n">
        <x:f>SUMIF($A$5:$A$563,A366,$D$5:$D$563)</x:f>
        <x:v>1659</x:v>
      </x:c>
    </x:row>
    <x:row r="367">
      <x:c r="A367" t="str">
        <x:v>TOOLCOM INNOVATIVE SOLUTIONS PRIVATE LIMITED</x:v>
      </x:c>
      <x:c r="B367" t="str">
        <x:v>NA/0741/26-27</x:v>
      </x:c>
      <x:c r="C367" s="6" t="n">
        <x:v>46165</x:v>
      </x:c>
      <x:c r="D367" s="7" t="n">
        <x:v>3599</x:v>
      </x:c>
      <x:c r="E367" s="6" t="n">
        <x:v>46165</x:v>
      </x:c>
      <x:c r="F367" t="n">
        <x:f>TODAY()-E367</x:f>
        <x:v>70</x:v>
      </x:c>
      <x:c r="G367" s="7" t="n">
        <x:f>SUMIF($A$5:$A$563,A367,$D$5:$D$563)</x:f>
        <x:v>19046</x:v>
      </x:c>
    </x:row>
    <x:row r="368">
      <x:c r="A368" t="str">
        <x:v>TOOLCOM INNOVATIVE SOLUTIONS PRIVATE LIMITED</x:v>
      </x:c>
      <x:c r="B368" t="str">
        <x:v>NA/0868/26-27</x:v>
      </x:c>
      <x:c r="C368" s="6" t="n">
        <x:v>46174</x:v>
      </x:c>
      <x:c r="D368" s="7" t="n">
        <x:v>1145</x:v>
      </x:c>
      <x:c r="E368" s="6" t="n">
        <x:v>46174</x:v>
      </x:c>
      <x:c r="F368" t="n">
        <x:f>TODAY()-E368</x:f>
        <x:v>61</x:v>
      </x:c>
      <x:c r="G368" s="7" t="n">
        <x:f>SUMIF($A$5:$A$563,A368,$D$5:$D$563)</x:f>
        <x:v>19046</x:v>
      </x:c>
    </x:row>
    <x:row r="369">
      <x:c r="A369" t="str">
        <x:v>TOOLCOM INNOVATIVE SOLUTIONS PRIVATE LIMITED</x:v>
      </x:c>
      <x:c r="B369" t="str">
        <x:v>NA/0991/26-27</x:v>
      </x:c>
      <x:c r="C369" s="6" t="n">
        <x:v>46181</x:v>
      </x:c>
      <x:c r="D369" s="7" t="n">
        <x:v>4248</x:v>
      </x:c>
      <x:c r="E369" s="6" t="n">
        <x:v>46181</x:v>
      </x:c>
      <x:c r="F369" t="n">
        <x:f>TODAY()-E369</x:f>
        <x:v>54</x:v>
      </x:c>
      <x:c r="G369" s="7" t="n">
        <x:f>SUMIF($A$5:$A$563,A369,$D$5:$D$563)</x:f>
        <x:v>19046</x:v>
      </x:c>
    </x:row>
    <x:row r="370">
      <x:c r="A370" t="str">
        <x:v>TOOLCOM INNOVATIVE SOLUTIONS PRIVATE LIMITED</x:v>
      </x:c>
      <x:c r="B370" t="str">
        <x:v>NA/1203/26-27</x:v>
      </x:c>
      <x:c r="C370" s="6" t="n">
        <x:v>46198</x:v>
      </x:c>
      <x:c r="D370" s="7" t="n">
        <x:v>531</x:v>
      </x:c>
      <x:c r="E370" s="6" t="n">
        <x:v>46198</x:v>
      </x:c>
      <x:c r="F370" t="n">
        <x:f>TODAY()-E370</x:f>
        <x:v>37</x:v>
      </x:c>
      <x:c r="G370" s="7" t="n">
        <x:f>SUMIF($A$5:$A$563,A370,$D$5:$D$563)</x:f>
        <x:v>19046</x:v>
      </x:c>
    </x:row>
    <x:row r="371">
      <x:c r="A371" t="str">
        <x:v>TOOLCOM INNOVATIVE SOLUTIONS PRIVATE LIMITED</x:v>
      </x:c>
      <x:c r="B371" t="str">
        <x:v>NA/1347/26-27</x:v>
      </x:c>
      <x:c r="C371" s="6" t="n">
        <x:v>46206</x:v>
      </x:c>
      <x:c r="D371" s="7" t="n">
        <x:v>4779</x:v>
      </x:c>
      <x:c r="E371" s="6" t="n">
        <x:v>46206</x:v>
      </x:c>
      <x:c r="F371" t="n">
        <x:f>TODAY()-E371</x:f>
        <x:v>29</x:v>
      </x:c>
      <x:c r="G371" s="7" t="n">
        <x:f>SUMIF($A$5:$A$563,A371,$D$5:$D$563)</x:f>
        <x:v>19046</x:v>
      </x:c>
    </x:row>
    <x:row r="372">
      <x:c r="A372" t="str">
        <x:v>TOOLCOM INNOVATIVE SOLUTIONS PRIVATE LIMITED</x:v>
      </x:c>
      <x:c r="B372" t="str">
        <x:v>NA/1548/26-27</x:v>
      </x:c>
      <x:c r="C372" s="6" t="n">
        <x:v>46217</x:v>
      </x:c>
      <x:c r="D372" s="7" t="n">
        <x:v>3776</x:v>
      </x:c>
      <x:c r="E372" s="6" t="n">
        <x:v>46217</x:v>
      </x:c>
      <x:c r="F372" t="n">
        <x:f>TODAY()-E372</x:f>
        <x:v>18</x:v>
      </x:c>
      <x:c r="G372" s="7" t="n">
        <x:f>SUMIF($A$5:$A$563,A372,$D$5:$D$563)</x:f>
        <x:v>19046</x:v>
      </x:c>
    </x:row>
    <x:row r="373">
      <x:c r="A373" t="str">
        <x:v>TOOLCOM INNOVATIVE SOLUTIONS PRIVATE LIMITED</x:v>
      </x:c>
      <x:c r="B373" t="str">
        <x:v>NA/1714/26-27</x:v>
      </x:c>
      <x:c r="C373" s="6" t="n">
        <x:v>46225</x:v>
      </x:c>
      <x:c r="D373" s="7" t="n">
        <x:v>968</x:v>
      </x:c>
      <x:c r="E373" s="6" t="n">
        <x:v>46225</x:v>
      </x:c>
      <x:c r="F373" t="n">
        <x:f>TODAY()-E373</x:f>
        <x:v>10</x:v>
      </x:c>
      <x:c r="G373" s="7" t="n">
        <x:f>SUMIF($A$5:$A$563,A373,$D$5:$D$563)</x:f>
        <x:v>19046</x:v>
      </x:c>
    </x:row>
    <x:row r="374">
      <x:c r="A374" t="str">
        <x:v>Tee Y Lifting Solutions</x:v>
      </x:c>
      <x:c r="B374" t="str">
        <x:v>NA/0796/26-27</x:v>
      </x:c>
      <x:c r="C374" s="6" t="n">
        <x:v>46169</x:v>
      </x:c>
      <x:c r="D374" s="7" t="n">
        <x:v>43881</x:v>
      </x:c>
      <x:c r="E374" s="6" t="n">
        <x:v>46169</x:v>
      </x:c>
      <x:c r="F374" t="n">
        <x:f>TODAY()-E374</x:f>
        <x:v>66</x:v>
      </x:c>
      <x:c r="G374" s="7" t="n">
        <x:f>SUMIF($A$5:$A$563,A374,$D$5:$D$563)</x:f>
        <x:v>43881</x:v>
      </x:c>
    </x:row>
    <x:row r="375">
      <x:c r="A375" t="str">
        <x:v>ALIF &amp; CO</x:v>
      </x:c>
      <x:c r="B375" t="str">
        <x:v>NA/0841/26-27</x:v>
      </x:c>
      <x:c r="C375" s="6" t="n">
        <x:v>46172</x:v>
      </x:c>
      <x:c r="D375" s="7" t="n">
        <x:v>4800</x:v>
      </x:c>
      <x:c r="E375" s="6" t="n">
        <x:v>46172</x:v>
      </x:c>
      <x:c r="F375" t="n">
        <x:f>TODAY()-E375</x:f>
        <x:v>63</x:v>
      </x:c>
      <x:c r="G375" s="7" t="n">
        <x:f>SUMIF($A$5:$A$563,A375,$D$5:$D$563)</x:f>
        <x:v>4800</x:v>
      </x:c>
    </x:row>
    <x:row r="376">
      <x:c r="A376" t="str">
        <x:v>BURHANI INDUSTRIAL MART</x:v>
      </x:c>
      <x:c r="B376" t="str">
        <x:v>NA/0837/26-27</x:v>
      </x:c>
      <x:c r="C376" s="6" t="n">
        <x:v>46172</x:v>
      </x:c>
      <x:c r="D376" s="7" t="n">
        <x:v>1576</x:v>
      </x:c>
      <x:c r="E376" s="6" t="n">
        <x:v>46172</x:v>
      </x:c>
      <x:c r="F376" t="n">
        <x:f>TODAY()-E376</x:f>
        <x:v>63</x:v>
      </x:c>
      <x:c r="G376" s="7" t="n">
        <x:f>SUMIF($A$5:$A$563,A376,$D$5:$D$563)</x:f>
        <x:v>6000</x:v>
      </x:c>
    </x:row>
    <x:row r="377">
      <x:c r="A377" t="str">
        <x:v>BURHANI INDUSTRIAL MART</x:v>
      </x:c>
      <x:c r="B377" t="str">
        <x:v>NA/0955/26-27</x:v>
      </x:c>
      <x:c r="C377" s="6" t="n">
        <x:v>46179</x:v>
      </x:c>
      <x:c r="D377" s="7" t="n">
        <x:v>1374</x:v>
      </x:c>
      <x:c r="E377" s="6" t="n">
        <x:v>46179</x:v>
      </x:c>
      <x:c r="F377" t="n">
        <x:f>TODAY()-E377</x:f>
        <x:v>56</x:v>
      </x:c>
      <x:c r="G377" s="7" t="n">
        <x:f>SUMIF($A$5:$A$563,A377,$D$5:$D$563)</x:f>
        <x:v>6000</x:v>
      </x:c>
    </x:row>
    <x:row r="378">
      <x:c r="A378" t="str">
        <x:v>BURHANI INDUSTRIAL MART</x:v>
      </x:c>
      <x:c r="B378" t="str">
        <x:v>NA/1045/26-27</x:v>
      </x:c>
      <x:c r="C378" s="6" t="n">
        <x:v>46183</x:v>
      </x:c>
      <x:c r="D378" s="7" t="n">
        <x:v>1500</x:v>
      </x:c>
      <x:c r="E378" s="6" t="n">
        <x:v>46183</x:v>
      </x:c>
      <x:c r="F378" t="n">
        <x:f>TODAY()-E378</x:f>
        <x:v>52</x:v>
      </x:c>
      <x:c r="G378" s="7" t="n">
        <x:f>SUMIF($A$5:$A$563,A378,$D$5:$D$563)</x:f>
        <x:v>6000</x:v>
      </x:c>
    </x:row>
    <x:row r="379">
      <x:c r="A379" t="str">
        <x:v>BURHANI INDUSTRIAL MART</x:v>
      </x:c>
      <x:c r="B379" t="str">
        <x:v>NA/1118/26-27</x:v>
      </x:c>
      <x:c r="C379" s="6" t="n">
        <x:v>46186</x:v>
      </x:c>
      <x:c r="D379" s="7" t="n">
        <x:v>882</x:v>
      </x:c>
      <x:c r="E379" s="6" t="n">
        <x:v>46186</x:v>
      </x:c>
      <x:c r="F379" t="n">
        <x:f>TODAY()-E379</x:f>
        <x:v>49</x:v>
      </x:c>
      <x:c r="G379" s="7" t="n">
        <x:f>SUMIF($A$5:$A$563,A379,$D$5:$D$563)</x:f>
        <x:v>6000</x:v>
      </x:c>
    </x:row>
    <x:row r="380">
      <x:c r="A380" t="str">
        <x:v>BURHANI INDUSTRIAL MART</x:v>
      </x:c>
      <x:c r="B380" t="str">
        <x:v>NA/1634/26-27</x:v>
      </x:c>
      <x:c r="C380" s="6" t="n">
        <x:v>46221</x:v>
      </x:c>
      <x:c r="D380" s="7" t="n">
        <x:v>668</x:v>
      </x:c>
      <x:c r="E380" s="6" t="n">
        <x:v>46221</x:v>
      </x:c>
      <x:c r="F380" t="n">
        <x:f>TODAY()-E380</x:f>
        <x:v>14</x:v>
      </x:c>
      <x:c r="G380" s="7" t="n">
        <x:f>SUMIF($A$5:$A$563,A380,$D$5:$D$563)</x:f>
        <x:v>6000</x:v>
      </x:c>
    </x:row>
    <x:row r="381">
      <x:c r="A381" t="str">
        <x:v>Excellent Engineering Enterprises</x:v>
      </x:c>
      <x:c r="B381" t="str">
        <x:v>NA/0866/26-27</x:v>
      </x:c>
      <x:c r="C381" s="6" t="n">
        <x:v>46174</x:v>
      </x:c>
      <x:c r="D381" s="7" t="n">
        <x:v>30000</x:v>
      </x:c>
      <x:c r="E381" s="6" t="n">
        <x:v>46174</x:v>
      </x:c>
      <x:c r="F381" t="n">
        <x:f>TODAY()-E381</x:f>
        <x:v>61</x:v>
      </x:c>
      <x:c r="G381" s="7" t="n">
        <x:f>SUMIF($A$5:$A$563,A381,$D$5:$D$563)</x:f>
        <x:v>115200</x:v>
      </x:c>
    </x:row>
    <x:row r="382">
      <x:c r="A382" t="str">
        <x:v>Excellent Engineering Enterprises</x:v>
      </x:c>
      <x:c r="B382" t="str">
        <x:v>NA/0992/26-27</x:v>
      </x:c>
      <x:c r="C382" s="6" t="n">
        <x:v>46181</x:v>
      </x:c>
      <x:c r="D382" s="7" t="n">
        <x:v>4800</x:v>
      </x:c>
      <x:c r="E382" s="6" t="n">
        <x:v>46181</x:v>
      </x:c>
      <x:c r="F382" t="n">
        <x:f>TODAY()-E382</x:f>
        <x:v>54</x:v>
      </x:c>
      <x:c r="G382" s="7" t="n">
        <x:f>SUMIF($A$5:$A$563,A382,$D$5:$D$563)</x:f>
        <x:v>115200</x:v>
      </x:c>
    </x:row>
    <x:row r="383">
      <x:c r="A383" t="str">
        <x:v>Excellent Engineering Enterprises</x:v>
      </x:c>
      <x:c r="B383" t="str">
        <x:v>NA/1073/26-27</x:v>
      </x:c>
      <x:c r="C383" s="6" t="n">
        <x:v>46184</x:v>
      </x:c>
      <x:c r="D383" s="7" t="n">
        <x:v>4800</x:v>
      </x:c>
      <x:c r="E383" s="6" t="n">
        <x:v>46184</x:v>
      </x:c>
      <x:c r="F383" t="n">
        <x:f>TODAY()-E383</x:f>
        <x:v>51</x:v>
      </x:c>
      <x:c r="G383" s="7" t="n">
        <x:f>SUMIF($A$5:$A$563,A383,$D$5:$D$563)</x:f>
        <x:v>115200</x:v>
      </x:c>
    </x:row>
    <x:row r="384">
      <x:c r="A384" t="str">
        <x:v>Excellent Engineering Enterprises</x:v>
      </x:c>
      <x:c r="B384" t="str">
        <x:v>NA/1237/26-27</x:v>
      </x:c>
      <x:c r="C384" s="6" t="n">
        <x:v>46200</x:v>
      </x:c>
      <x:c r="D384" s="7" t="n">
        <x:v>16800</x:v>
      </x:c>
      <x:c r="E384" s="6" t="n">
        <x:v>46200</x:v>
      </x:c>
      <x:c r="F384" t="n">
        <x:f>TODAY()-E384</x:f>
        <x:v>35</x:v>
      </x:c>
      <x:c r="G384" s="7" t="n">
        <x:f>SUMIF($A$5:$A$563,A384,$D$5:$D$563)</x:f>
        <x:v>115200</x:v>
      </x:c>
    </x:row>
    <x:row r="385">
      <x:c r="A385" t="str">
        <x:v>Excellent Engineering Enterprises</x:v>
      </x:c>
      <x:c r="B385" t="str">
        <x:v>NA/1265/26-27</x:v>
      </x:c>
      <x:c r="C385" s="6" t="n">
        <x:v>46202</x:v>
      </x:c>
      <x:c r="D385" s="7" t="n">
        <x:v>18000</x:v>
      </x:c>
      <x:c r="E385" s="6" t="n">
        <x:v>46202</x:v>
      </x:c>
      <x:c r="F385" t="n">
        <x:f>TODAY()-E385</x:f>
        <x:v>33</x:v>
      </x:c>
      <x:c r="G385" s="7" t="n">
        <x:f>SUMIF($A$5:$A$563,A385,$D$5:$D$563)</x:f>
        <x:v>115200</x:v>
      </x:c>
    </x:row>
    <x:row r="386">
      <x:c r="A386" t="str">
        <x:v>Excellent Engineering Enterprises</x:v>
      </x:c>
      <x:c r="B386" t="str">
        <x:v>NA/1521/26-27</x:v>
      </x:c>
      <x:c r="C386" s="6" t="n">
        <x:v>46216</x:v>
      </x:c>
      <x:c r="D386" s="7" t="n">
        <x:v>6000</x:v>
      </x:c>
      <x:c r="E386" s="6" t="n">
        <x:v>46216</x:v>
      </x:c>
      <x:c r="F386" t="n">
        <x:f>TODAY()-E386</x:f>
        <x:v>19</x:v>
      </x:c>
      <x:c r="G386" s="7" t="n">
        <x:f>SUMIF($A$5:$A$563,A386,$D$5:$D$563)</x:f>
        <x:v>115200</x:v>
      </x:c>
    </x:row>
    <x:row r="387">
      <x:c r="A387" t="str">
        <x:v>Excellent Engineering Enterprises</x:v>
      </x:c>
      <x:c r="B387" t="str">
        <x:v>NA/1542/26-27</x:v>
      </x:c>
      <x:c r="C387" s="6" t="n">
        <x:v>46217</x:v>
      </x:c>
      <x:c r="D387" s="7" t="n">
        <x:v>6000</x:v>
      </x:c>
      <x:c r="E387" s="6" t="n">
        <x:v>46217</x:v>
      </x:c>
      <x:c r="F387" t="n">
        <x:f>TODAY()-E387</x:f>
        <x:v>18</x:v>
      </x:c>
      <x:c r="G387" s="7" t="n">
        <x:f>SUMIF($A$5:$A$563,A387,$D$5:$D$563)</x:f>
        <x:v>115200</x:v>
      </x:c>
    </x:row>
    <x:row r="388">
      <x:c r="A388" t="str">
        <x:v>Excellent Engineering Enterprises</x:v>
      </x:c>
      <x:c r="B388" t="str">
        <x:v>NA/1797/26-27</x:v>
      </x:c>
      <x:c r="C388" s="6" t="n">
        <x:v>46230</x:v>
      </x:c>
      <x:c r="D388" s="7" t="n">
        <x:v>28800</x:v>
      </x:c>
      <x:c r="E388" s="6" t="n">
        <x:v>46230</x:v>
      </x:c>
      <x:c r="F388" t="n">
        <x:f>TODAY()-E388</x:f>
        <x:v>5</x:v>
      </x:c>
      <x:c r="G388" s="7" t="n">
        <x:f>SUMIF($A$5:$A$563,A388,$D$5:$D$563)</x:f>
        <x:v>115200</x:v>
      </x:c>
    </x:row>
    <x:row r="389">
      <x:c r="A389" t="str">
        <x:v>SHIVAM TRADERS</x:v>
      </x:c>
      <x:c r="B389" t="str">
        <x:v>NA/0858/26-27</x:v>
      </x:c>
      <x:c r="C389" s="6" t="n">
        <x:v>46174</x:v>
      </x:c>
      <x:c r="D389" s="7" t="n">
        <x:v>600</x:v>
      </x:c>
      <x:c r="E389" s="6" t="n">
        <x:v>46174</x:v>
      </x:c>
      <x:c r="F389" t="n">
        <x:f>TODAY()-E389</x:f>
        <x:v>61</x:v>
      </x:c>
      <x:c r="G389" s="7" t="n">
        <x:f>SUMIF($A$5:$A$563,A389,$D$5:$D$563)</x:f>
        <x:v>600</x:v>
      </x:c>
    </x:row>
    <x:row r="390">
      <x:c r="A390" t="str">
        <x:v>S to Z Traders</x:v>
      </x:c>
      <x:c r="B390" t="str">
        <x:v>NA/0896/26-27</x:v>
      </x:c>
      <x:c r="C390" s="6" t="n">
        <x:v>46176</x:v>
      </x:c>
      <x:c r="D390" s="7" t="n">
        <x:v>16300</x:v>
      </x:c>
      <x:c r="E390" s="6" t="n">
        <x:v>46176</x:v>
      </x:c>
      <x:c r="F390" t="n">
        <x:f>TODAY()-E390</x:f>
        <x:v>59</x:v>
      </x:c>
      <x:c r="G390" s="7" t="n">
        <x:f>SUMIF($A$5:$A$563,A390,$D$5:$D$563)</x:f>
        <x:v>77473</x:v>
      </x:c>
    </x:row>
    <x:row r="391">
      <x:c r="A391" t="str">
        <x:v>S to Z Traders</x:v>
      </x:c>
      <x:c r="B391" t="str">
        <x:v>NA/0968/26-27</x:v>
      </x:c>
      <x:c r="C391" s="6" t="n">
        <x:v>46179</x:v>
      </x:c>
      <x:c r="D391" s="7" t="n">
        <x:v>1693</x:v>
      </x:c>
      <x:c r="E391" s="6" t="n">
        <x:v>46179</x:v>
      </x:c>
      <x:c r="F391" t="n">
        <x:f>TODAY()-E391</x:f>
        <x:v>56</x:v>
      </x:c>
      <x:c r="G391" s="7" t="n">
        <x:f>SUMIF($A$5:$A$563,A391,$D$5:$D$563)</x:f>
        <x:v>77473</x:v>
      </x:c>
    </x:row>
    <x:row r="392">
      <x:c r="A392" t="str">
        <x:v>S to Z Traders</x:v>
      </x:c>
      <x:c r="B392" t="str">
        <x:v>NA/1029/26-27</x:v>
      </x:c>
      <x:c r="C392" s="6" t="n">
        <x:v>46182</x:v>
      </x:c>
      <x:c r="D392" s="7" t="n">
        <x:v>3525</x:v>
      </x:c>
      <x:c r="E392" s="6" t="n">
        <x:v>46182</x:v>
      </x:c>
      <x:c r="F392" t="n">
        <x:f>TODAY()-E392</x:f>
        <x:v>53</x:v>
      </x:c>
      <x:c r="G392" s="7" t="n">
        <x:f>SUMIF($A$5:$A$563,A392,$D$5:$D$563)</x:f>
        <x:v>77473</x:v>
      </x:c>
    </x:row>
    <x:row r="393">
      <x:c r="A393" t="str">
        <x:v>S to Z Traders</x:v>
      </x:c>
      <x:c r="B393" t="str">
        <x:v>NA/1098/26-27</x:v>
      </x:c>
      <x:c r="C393" s="6" t="n">
        <x:v>46185</x:v>
      </x:c>
      <x:c r="D393" s="7" t="n">
        <x:v>14250</x:v>
      </x:c>
      <x:c r="E393" s="6" t="n">
        <x:v>46185</x:v>
      </x:c>
      <x:c r="F393" t="n">
        <x:f>TODAY()-E393</x:f>
        <x:v>50</x:v>
      </x:c>
      <x:c r="G393" s="7" t="n">
        <x:f>SUMIF($A$5:$A$563,A393,$D$5:$D$563)</x:f>
        <x:v>77473</x:v>
      </x:c>
    </x:row>
    <x:row r="394">
      <x:c r="A394" t="str">
        <x:v>S to Z Traders</x:v>
      </x:c>
      <x:c r="B394" t="str">
        <x:v>NA/1245/26-27</x:v>
      </x:c>
      <x:c r="C394" s="6" t="n">
        <x:v>46200</x:v>
      </x:c>
      <x:c r="D394" s="7" t="n">
        <x:v>6720</x:v>
      </x:c>
      <x:c r="E394" s="6" t="n">
        <x:v>46200</x:v>
      </x:c>
      <x:c r="F394" t="n">
        <x:f>TODAY()-E394</x:f>
        <x:v>35</x:v>
      </x:c>
      <x:c r="G394" s="7" t="n">
        <x:f>SUMIF($A$5:$A$563,A394,$D$5:$D$563)</x:f>
        <x:v>77473</x:v>
      </x:c>
    </x:row>
    <x:row r="395">
      <x:c r="A395" t="str">
        <x:v>S to Z Traders</x:v>
      </x:c>
      <x:c r="B395" t="str">
        <x:v>NA/1362/26-27</x:v>
      </x:c>
      <x:c r="C395" s="6" t="n">
        <x:v>46207</x:v>
      </x:c>
      <x:c r="D395" s="7" t="n">
        <x:v>8876</x:v>
      </x:c>
      <x:c r="E395" s="6" t="n">
        <x:v>46207</x:v>
      </x:c>
      <x:c r="F395" t="n">
        <x:f>TODAY()-E395</x:f>
        <x:v>28</x:v>
      </x:c>
      <x:c r="G395" s="7" t="n">
        <x:f>SUMIF($A$5:$A$563,A395,$D$5:$D$563)</x:f>
        <x:v>77473</x:v>
      </x:c>
    </x:row>
    <x:row r="396">
      <x:c r="A396" t="str">
        <x:v>S to Z Traders</x:v>
      </x:c>
      <x:c r="B396" t="str">
        <x:v>NA/1500/26-27</x:v>
      </x:c>
      <x:c r="C396" s="6" t="n">
        <x:v>46214</x:v>
      </x:c>
      <x:c r="D396" s="7" t="n">
        <x:v>7195</x:v>
      </x:c>
      <x:c r="E396" s="6" t="n">
        <x:v>46214</x:v>
      </x:c>
      <x:c r="F396" t="n">
        <x:f>TODAY()-E396</x:f>
        <x:v>21</x:v>
      </x:c>
      <x:c r="G396" s="7" t="n">
        <x:f>SUMIF($A$5:$A$563,A396,$D$5:$D$563)</x:f>
        <x:v>77473</x:v>
      </x:c>
    </x:row>
    <x:row r="397">
      <x:c r="A397" t="str">
        <x:v>S to Z Traders</x:v>
      </x:c>
      <x:c r="B397" t="str">
        <x:v>NA/1631/26-27</x:v>
      </x:c>
      <x:c r="C397" s="6" t="n">
        <x:v>46221</x:v>
      </x:c>
      <x:c r="D397" s="7" t="n">
        <x:v>6160</x:v>
      </x:c>
      <x:c r="E397" s="6" t="n">
        <x:v>46221</x:v>
      </x:c>
      <x:c r="F397" t="n">
        <x:f>TODAY()-E397</x:f>
        <x:v>14</x:v>
      </x:c>
      <x:c r="G397" s="7" t="n">
        <x:f>SUMIF($A$5:$A$563,A397,$D$5:$D$563)</x:f>
        <x:v>77473</x:v>
      </x:c>
    </x:row>
    <x:row r="398">
      <x:c r="A398" t="str">
        <x:v>S to Z Traders</x:v>
      </x:c>
      <x:c r="B398" t="str">
        <x:v>NA/1762/26-27</x:v>
      </x:c>
      <x:c r="C398" s="6" t="n">
        <x:v>46228</x:v>
      </x:c>
      <x:c r="D398" s="7" t="n">
        <x:v>4088</x:v>
      </x:c>
      <x:c r="E398" s="6" t="n">
        <x:v>46228</x:v>
      </x:c>
      <x:c r="F398" t="n">
        <x:f>TODAY()-E398</x:f>
        <x:v>7</x:v>
      </x:c>
      <x:c r="G398" s="7" t="n">
        <x:f>SUMIF($A$5:$A$563,A398,$D$5:$D$563)</x:f>
        <x:v>77473</x:v>
      </x:c>
    </x:row>
    <x:row r="399">
      <x:c r="A399" t="str">
        <x:v>S to Z Traders</x:v>
      </x:c>
      <x:c r="B399" t="str">
        <x:v>NA/1886/26-27</x:v>
      </x:c>
      <x:c r="C399" s="6" t="n">
        <x:v>46235</x:v>
      </x:c>
      <x:c r="D399" s="7" t="n">
        <x:v>8666</x:v>
      </x:c>
      <x:c r="E399" s="6" t="n">
        <x:v>46235</x:v>
      </x:c>
      <x:c r="F399" t="n">
        <x:f>TODAY()-E399</x:f>
        <x:v>0</x:v>
      </x:c>
      <x:c r="G399" s="7" t="n">
        <x:f>SUMIF($A$5:$A$563,A399,$D$5:$D$563)</x:f>
        <x:v>77473</x:v>
      </x:c>
    </x:row>
    <x:row r="400">
      <x:c r="A400" t="str">
        <x:v>Degon Traders</x:v>
      </x:c>
      <x:c r="B400" t="str">
        <x:v>NA/0944/26-27</x:v>
      </x:c>
      <x:c r="C400" s="6" t="n">
        <x:v>46178</x:v>
      </x:c>
      <x:c r="D400" s="7" t="n">
        <x:v>9800</x:v>
      </x:c>
      <x:c r="E400" s="6" t="n">
        <x:v>46178</x:v>
      </x:c>
      <x:c r="F400" t="n">
        <x:f>TODAY()-E400</x:f>
        <x:v>57</x:v>
      </x:c>
      <x:c r="G400" s="7" t="n">
        <x:f>SUMIF($A$5:$A$563,A400,$D$5:$D$563)</x:f>
        <x:v>17096</x:v>
      </x:c>
    </x:row>
    <x:row r="401">
      <x:c r="A401" t="str">
        <x:v>Degon Traders</x:v>
      </x:c>
      <x:c r="B401" t="str">
        <x:v>NA/1456/26-27</x:v>
      </x:c>
      <x:c r="C401" s="6" t="n">
        <x:v>46212</x:v>
      </x:c>
      <x:c r="D401" s="7" t="n">
        <x:v>7296</x:v>
      </x:c>
      <x:c r="E401" s="6" t="n">
        <x:v>46212</x:v>
      </x:c>
      <x:c r="F401" t="n">
        <x:f>TODAY()-E401</x:f>
        <x:v>23</x:v>
      </x:c>
      <x:c r="G401" s="7" t="n">
        <x:f>SUMIF($A$5:$A$563,A401,$D$5:$D$563)</x:f>
        <x:v>17096</x:v>
      </x:c>
    </x:row>
    <x:row r="402">
      <x:c r="A402" t="str">
        <x:v>Nandhu Coats</x:v>
      </x:c>
      <x:c r="B402" t="str">
        <x:v>NA/0978/26-27</x:v>
      </x:c>
      <x:c r="C402" s="6" t="n">
        <x:v>46179</x:v>
      </x:c>
      <x:c r="D402" s="7" t="n">
        <x:v>74892</x:v>
      </x:c>
      <x:c r="E402" s="6" t="n">
        <x:v>46179</x:v>
      </x:c>
      <x:c r="F402" t="n">
        <x:f>TODAY()-E402</x:f>
        <x:v>56</x:v>
      </x:c>
      <x:c r="G402" s="7" t="n">
        <x:f>SUMIF($A$5:$A$563,A402,$D$5:$D$563)</x:f>
        <x:v>182236</x:v>
      </x:c>
    </x:row>
    <x:row r="403">
      <x:c r="A403" t="str">
        <x:v>Nandhu Coats</x:v>
      </x:c>
      <x:c r="B403" t="str">
        <x:v>NA/1113/26-27</x:v>
      </x:c>
      <x:c r="C403" s="6" t="n">
        <x:v>46186</x:v>
      </x:c>
      <x:c r="D403" s="7" t="n">
        <x:v>20591</x:v>
      </x:c>
      <x:c r="E403" s="6" t="n">
        <x:v>46186</x:v>
      </x:c>
      <x:c r="F403" t="n">
        <x:f>TODAY()-E403</x:f>
        <x:v>49</x:v>
      </x:c>
      <x:c r="G403" s="7" t="n">
        <x:f>SUMIF($A$5:$A$563,A403,$D$5:$D$563)</x:f>
        <x:v>182236</x:v>
      </x:c>
    </x:row>
    <x:row r="404">
      <x:c r="A404" t="str">
        <x:v>Nandhu Coats</x:v>
      </x:c>
      <x:c r="B404" t="str">
        <x:v>NA/1233/26-27</x:v>
      </x:c>
      <x:c r="C404" s="6" t="n">
        <x:v>46200</x:v>
      </x:c>
      <x:c r="D404" s="7" t="n">
        <x:v>19910</x:v>
      </x:c>
      <x:c r="E404" s="6" t="n">
        <x:v>46200</x:v>
      </x:c>
      <x:c r="F404" t="n">
        <x:f>TODAY()-E404</x:f>
        <x:v>35</x:v>
      </x:c>
      <x:c r="G404" s="7" t="n">
        <x:f>SUMIF($A$5:$A$563,A404,$D$5:$D$563)</x:f>
        <x:v>182236</x:v>
      </x:c>
    </x:row>
    <x:row r="405">
      <x:c r="A405" t="str">
        <x:v>Nandhu Coats</x:v>
      </x:c>
      <x:c r="B405" t="str">
        <x:v>NA/1493/26-27</x:v>
      </x:c>
      <x:c r="C405" s="6" t="n">
        <x:v>46214</x:v>
      </x:c>
      <x:c r="D405" s="7" t="n">
        <x:v>13547</x:v>
      </x:c>
      <x:c r="E405" s="6" t="n">
        <x:v>46214</x:v>
      </x:c>
      <x:c r="F405" t="n">
        <x:f>TODAY()-E405</x:f>
        <x:v>21</x:v>
      </x:c>
      <x:c r="G405" s="7" t="n">
        <x:f>SUMIF($A$5:$A$563,A405,$D$5:$D$563)</x:f>
        <x:v>182236</x:v>
      </x:c>
    </x:row>
    <x:row r="406">
      <x:c r="A406" t="str">
        <x:v>Nandhu Coats</x:v>
      </x:c>
      <x:c r="B406" t="str">
        <x:v>NA/1569/26-27</x:v>
      </x:c>
      <x:c r="C406" s="6" t="n">
        <x:v>46218</x:v>
      </x:c>
      <x:c r="D406" s="7" t="n">
        <x:v>41000</x:v>
      </x:c>
      <x:c r="E406" s="6" t="n">
        <x:v>46218</x:v>
      </x:c>
      <x:c r="F406" t="n">
        <x:f>TODAY()-E406</x:f>
        <x:v>17</x:v>
      </x:c>
      <x:c r="G406" s="7" t="n">
        <x:f>SUMIF($A$5:$A$563,A406,$D$5:$D$563)</x:f>
        <x:v>182236</x:v>
      </x:c>
    </x:row>
    <x:row r="407">
      <x:c r="A407" t="str">
        <x:v>Nandhu Coats</x:v>
      </x:c>
      <x:c r="B407" t="str">
        <x:v>NA/1883/26-27</x:v>
      </x:c>
      <x:c r="C407" s="6" t="n">
        <x:v>46235</x:v>
      </x:c>
      <x:c r="D407" s="7" t="n">
        <x:v>12296</x:v>
      </x:c>
      <x:c r="E407" s="6" t="n">
        <x:v>46235</x:v>
      </x:c>
      <x:c r="F407" t="n">
        <x:f>TODAY()-E407</x:f>
        <x:v>0</x:v>
      </x:c>
      <x:c r="G407" s="7" t="n">
        <x:f>SUMIF($A$5:$A$563,A407,$D$5:$D$563)</x:f>
        <x:v>182236</x:v>
      </x:c>
    </x:row>
    <x:row r="408">
      <x:c r="A408" t="str">
        <x:v>NATIONAL ELECTRO ENGINEERING</x:v>
      </x:c>
      <x:c r="B408" t="str">
        <x:v>NA/0958/26-27</x:v>
      </x:c>
      <x:c r="C408" s="6" t="n">
        <x:v>46179</x:v>
      </x:c>
      <x:c r="D408" s="7" t="n">
        <x:v>56</x:v>
      </x:c>
      <x:c r="E408" s="6" t="n">
        <x:v>46179</x:v>
      </x:c>
      <x:c r="F408" t="n">
        <x:f>TODAY()-E408</x:f>
        <x:v>56</x:v>
      </x:c>
      <x:c r="G408" s="7" t="n">
        <x:f>SUMIF($A$5:$A$563,A408,$D$5:$D$563)</x:f>
        <x:v>56</x:v>
      </x:c>
    </x:row>
    <x:row r="409">
      <x:c r="A409" t="str">
        <x:v>Universal Hardware &amp; Tools Corp</x:v>
      </x:c>
      <x:c r="B409" t="str">
        <x:v>NA/0962/26-27</x:v>
      </x:c>
      <x:c r="C409" s="6" t="n">
        <x:v>46179</x:v>
      </x:c>
      <x:c r="D409" s="7" t="n">
        <x:v>8038</x:v>
      </x:c>
      <x:c r="E409" s="6" t="n">
        <x:v>46179</x:v>
      </x:c>
      <x:c r="F409" t="n">
        <x:f>TODAY()-E409</x:f>
        <x:v>56</x:v>
      </x:c>
      <x:c r="G409" s="7" t="n">
        <x:f>SUMIF($A$5:$A$563,A409,$D$5:$D$563)</x:f>
        <x:v>19560</x:v>
      </x:c>
    </x:row>
    <x:row r="410">
      <x:c r="A410" t="str">
        <x:v>Universal Hardware &amp; Tools Corp</x:v>
      </x:c>
      <x:c r="B410" t="str">
        <x:v>NA/1121/26-27</x:v>
      </x:c>
      <x:c r="C410" s="6" t="n">
        <x:v>46186</x:v>
      </x:c>
      <x:c r="D410" s="7" t="n">
        <x:v>1444</x:v>
      </x:c>
      <x:c r="E410" s="6" t="n">
        <x:v>46186</x:v>
      </x:c>
      <x:c r="F410" t="n">
        <x:f>TODAY()-E410</x:f>
        <x:v>49</x:v>
      </x:c>
      <x:c r="G410" s="7" t="n">
        <x:f>SUMIF($A$5:$A$563,A410,$D$5:$D$563)</x:f>
        <x:v>19560</x:v>
      </x:c>
    </x:row>
    <x:row r="411">
      <x:c r="A411" t="str">
        <x:v>Universal Hardware &amp; Tools Corp</x:v>
      </x:c>
      <x:c r="B411" t="str">
        <x:v>NA/1363/26-27</x:v>
      </x:c>
      <x:c r="C411" s="6" t="n">
        <x:v>46207</x:v>
      </x:c>
      <x:c r="D411" s="7" t="n">
        <x:v>216</x:v>
      </x:c>
      <x:c r="E411" s="6" t="n">
        <x:v>46207</x:v>
      </x:c>
      <x:c r="F411" t="n">
        <x:f>TODAY()-E411</x:f>
        <x:v>28</x:v>
      </x:c>
      <x:c r="G411" s="7" t="n">
        <x:f>SUMIF($A$5:$A$563,A411,$D$5:$D$563)</x:f>
        <x:v>19560</x:v>
      </x:c>
    </x:row>
    <x:row r="412">
      <x:c r="A412" t="str">
        <x:v>Universal Hardware &amp; Tools Corp</x:v>
      </x:c>
      <x:c r="B412" t="str">
        <x:v>NA/1407/26-27</x:v>
      </x:c>
      <x:c r="C412" s="6" t="n">
        <x:v>46210</x:v>
      </x:c>
      <x:c r="D412" s="7" t="n">
        <x:v>2112</x:v>
      </x:c>
      <x:c r="E412" s="6" t="n">
        <x:v>46210</x:v>
      </x:c>
      <x:c r="F412" t="n">
        <x:f>TODAY()-E412</x:f>
        <x:v>25</x:v>
      </x:c>
      <x:c r="G412" s="7" t="n">
        <x:f>SUMIF($A$5:$A$563,A412,$D$5:$D$563)</x:f>
        <x:v>19560</x:v>
      </x:c>
    </x:row>
    <x:row r="413">
      <x:c r="A413" t="str">
        <x:v>Universal Hardware &amp; Tools Corp</x:v>
      </x:c>
      <x:c r="B413" t="str">
        <x:v>NA/1501/26-27</x:v>
      </x:c>
      <x:c r="C413" s="6" t="n">
        <x:v>46214</x:v>
      </x:c>
      <x:c r="D413" s="7" t="n">
        <x:v>7750</x:v>
      </x:c>
      <x:c r="E413" s="6" t="n">
        <x:v>46214</x:v>
      </x:c>
      <x:c r="F413" t="n">
        <x:f>TODAY()-E413</x:f>
        <x:v>21</x:v>
      </x:c>
      <x:c r="G413" s="7" t="n">
        <x:f>SUMIF($A$5:$A$563,A413,$D$5:$D$563)</x:f>
        <x:v>19560</x:v>
      </x:c>
    </x:row>
    <x:row r="414">
      <x:c r="A414" t="str">
        <x:v>Sarral Irrigations</x:v>
      </x:c>
      <x:c r="B414" t="str">
        <x:v>NA/1028/26-27</x:v>
      </x:c>
      <x:c r="C414" s="6" t="n">
        <x:v>46182</x:v>
      </x:c>
      <x:c r="D414" s="7" t="n">
        <x:v>8244</x:v>
      </x:c>
      <x:c r="E414" s="6" t="n">
        <x:v>46182</x:v>
      </x:c>
      <x:c r="F414" t="n">
        <x:f>TODAY()-E414</x:f>
        <x:v>53</x:v>
      </x:c>
      <x:c r="G414" s="7" t="n">
        <x:f>SUMIF($A$5:$A$563,A414,$D$5:$D$563)</x:f>
        <x:v>12444</x:v>
      </x:c>
    </x:row>
    <x:row r="415">
      <x:c r="A415" t="str">
        <x:v>Sarral Irrigations</x:v>
      </x:c>
      <x:c r="B415" t="str">
        <x:v>NA/1750/26-27</x:v>
      </x:c>
      <x:c r="C415" s="6" t="n">
        <x:v>46227</x:v>
      </x:c>
      <x:c r="D415" s="7" t="n">
        <x:v>4200</x:v>
      </x:c>
      <x:c r="E415" s="6" t="n">
        <x:v>46227</x:v>
      </x:c>
      <x:c r="F415" t="n">
        <x:f>TODAY()-E415</x:f>
        <x:v>8</x:v>
      </x:c>
      <x:c r="G415" s="7" t="n">
        <x:f>SUMIF($A$5:$A$563,A415,$D$5:$D$563)</x:f>
        <x:v>12444</x:v>
      </x:c>
    </x:row>
    <x:row r="416">
      <x:c r="A416" t="str">
        <x:v>Martin Traders</x:v>
      </x:c>
      <x:c r="B416" t="str">
        <x:v>NA/1038/26-27</x:v>
      </x:c>
      <x:c r="C416" s="6" t="n">
        <x:v>46183</x:v>
      </x:c>
      <x:c r="D416" s="7" t="n">
        <x:v>4500</x:v>
      </x:c>
      <x:c r="E416" s="6" t="n">
        <x:v>46183</x:v>
      </x:c>
      <x:c r="F416" t="n">
        <x:f>TODAY()-E416</x:f>
        <x:v>52</x:v>
      </x:c>
      <x:c r="G416" s="7" t="n">
        <x:f>SUMIF($A$5:$A$563,A416,$D$5:$D$563)</x:f>
        <x:v>4500</x:v>
      </x:c>
    </x:row>
    <x:row r="417">
      <x:c r="A417" t="str">
        <x:v>IES AGENCIES</x:v>
      </x:c>
      <x:c r="B417" t="str">
        <x:v>NA/1081/26-27</x:v>
      </x:c>
      <x:c r="C417" s="6" t="n">
        <x:v>46184</x:v>
      </x:c>
      <x:c r="D417" s="7" t="n">
        <x:v>7596</x:v>
      </x:c>
      <x:c r="E417" s="6" t="n">
        <x:v>46184</x:v>
      </x:c>
      <x:c r="F417" t="n">
        <x:f>TODAY()-E417</x:f>
        <x:v>51</x:v>
      </x:c>
      <x:c r="G417" s="7" t="n">
        <x:f>SUMIF($A$5:$A$563,A417,$D$5:$D$563)</x:f>
        <x:v>12136</x:v>
      </x:c>
    </x:row>
    <x:row r="418">
      <x:c r="A418" t="str">
        <x:v>IES AGENCIES</x:v>
      </x:c>
      <x:c r="B418" t="str">
        <x:v>NA/1139/26-27</x:v>
      </x:c>
      <x:c r="C418" s="6" t="n">
        <x:v>46188</x:v>
      </x:c>
      <x:c r="D418" s="7" t="n">
        <x:v>3798</x:v>
      </x:c>
      <x:c r="E418" s="6" t="n">
        <x:v>46188</x:v>
      </x:c>
      <x:c r="F418" t="n">
        <x:f>TODAY()-E418</x:f>
        <x:v>47</x:v>
      </x:c>
      <x:c r="G418" s="7" t="n">
        <x:f>SUMIF($A$5:$A$563,A418,$D$5:$D$563)</x:f>
        <x:v>12136</x:v>
      </x:c>
    </x:row>
    <x:row r="419">
      <x:c r="A419" t="str">
        <x:v>IES AGENCIES</x:v>
      </x:c>
      <x:c r="B419" t="str">
        <x:v>NA/1155/26-27&lt;Auto&gt;</x:v>
      </x:c>
      <x:c r="C419" s="6" t="n">
        <x:v>46191</x:v>
      </x:c>
      <x:c r="D419" s="7" t="n">
        <x:v>742</x:v>
      </x:c>
      <x:c r="E419" s="6" t="n">
        <x:v>46191</x:v>
      </x:c>
      <x:c r="F419" t="n">
        <x:f>TODAY()-E419</x:f>
        <x:v>44</x:v>
      </x:c>
      <x:c r="G419" s="7" t="n">
        <x:f>SUMIF($A$5:$A$563,A419,$D$5:$D$563)</x:f>
        <x:v>12136</x:v>
      </x:c>
    </x:row>
    <x:row r="420">
      <x:c r="A420" t="str">
        <x:v>SANAA ENTERPRISES</x:v>
      </x:c>
      <x:c r="B420" t="str">
        <x:v>NA/1076/26-27</x:v>
      </x:c>
      <x:c r="C420" s="6" t="n">
        <x:v>46184</x:v>
      </x:c>
      <x:c r="D420" s="7" t="n">
        <x:v>8000</x:v>
      </x:c>
      <x:c r="E420" s="6" t="n">
        <x:v>46184</x:v>
      </x:c>
      <x:c r="F420" t="n">
        <x:f>TODAY()-E420</x:f>
        <x:v>51</x:v>
      </x:c>
      <x:c r="G420" s="7" t="n">
        <x:f>SUMIF($A$5:$A$563,A420,$D$5:$D$563)</x:f>
        <x:v>8000</x:v>
      </x:c>
    </x:row>
    <x:row r="421">
      <x:c r="A421" t="str">
        <x:v>KOMARLA HATCHERIES</x:v>
      </x:c>
      <x:c r="B421" t="str">
        <x:v>NA/1095/26-27</x:v>
      </x:c>
      <x:c r="C421" s="6" t="n">
        <x:v>46185</x:v>
      </x:c>
      <x:c r="D421" s="7" t="n">
        <x:v>1605</x:v>
      </x:c>
      <x:c r="E421" s="6" t="n">
        <x:v>46185</x:v>
      </x:c>
      <x:c r="F421" t="n">
        <x:f>TODAY()-E421</x:f>
        <x:v>50</x:v>
      </x:c>
      <x:c r="G421" s="7" t="n">
        <x:f>SUMIF($A$5:$A$563,A421,$D$5:$D$563)</x:f>
        <x:v>1605</x:v>
      </x:c>
    </x:row>
    <x:row r="422">
      <x:c r="A422" t="str">
        <x:v>COMET TOOLS AND HARDWARE STORES</x:v>
      </x:c>
      <x:c r="B422" t="str">
        <x:v>NA/1124/26-27</x:v>
      </x:c>
      <x:c r="C422" s="6" t="n">
        <x:v>46186</x:v>
      </x:c>
      <x:c r="D422" s="7" t="n">
        <x:v>1700</x:v>
      </x:c>
      <x:c r="E422" s="6" t="n">
        <x:v>46186</x:v>
      </x:c>
      <x:c r="F422" t="n">
        <x:f>TODAY()-E422</x:f>
        <x:v>49</x:v>
      </x:c>
      <x:c r="G422" s="7" t="n">
        <x:f>SUMIF($A$5:$A$563,A422,$D$5:$D$563)</x:f>
        <x:v>7349</x:v>
      </x:c>
    </x:row>
    <x:row r="423">
      <x:c r="A423" t="str">
        <x:v>COMET TOOLS AND HARDWARE STORES</x:v>
      </x:c>
      <x:c r="B423" t="str">
        <x:v>NA/1131/26-27</x:v>
      </x:c>
      <x:c r="C423" s="6" t="n">
        <x:v>46186</x:v>
      </x:c>
      <x:c r="D423" s="7" t="n">
        <x:v>644</x:v>
      </x:c>
      <x:c r="E423" s="6" t="n">
        <x:v>46186</x:v>
      </x:c>
      <x:c r="F423" t="n">
        <x:f>TODAY()-E423</x:f>
        <x:v>49</x:v>
      </x:c>
      <x:c r="G423" s="7" t="n">
        <x:f>SUMIF($A$5:$A$563,A423,$D$5:$D$563)</x:f>
        <x:v>7349</x:v>
      </x:c>
    </x:row>
    <x:row r="424">
      <x:c r="A424" t="str">
        <x:v>COMET TOOLS AND HARDWARE STORES</x:v>
      </x:c>
      <x:c r="B424" t="str">
        <x:v>NA/1530/26-27</x:v>
      </x:c>
      <x:c r="C424" s="6" t="n">
        <x:v>46216</x:v>
      </x:c>
      <x:c r="D424" s="7" t="n">
        <x:v>2176</x:v>
      </x:c>
      <x:c r="E424" s="6" t="n">
        <x:v>46216</x:v>
      </x:c>
      <x:c r="F424" t="n">
        <x:f>TODAY()-E424</x:f>
        <x:v>19</x:v>
      </x:c>
      <x:c r="G424" s="7" t="n">
        <x:f>SUMIF($A$5:$A$563,A424,$D$5:$D$563)</x:f>
        <x:v>7349</x:v>
      </x:c>
    </x:row>
    <x:row r="425">
      <x:c r="A425" t="str">
        <x:v>COMET TOOLS AND HARDWARE STORES</x:v>
      </x:c>
      <x:c r="B425" t="str">
        <x:v>NA/1570/26-27</x:v>
      </x:c>
      <x:c r="C425" s="6" t="n">
        <x:v>46218</x:v>
      </x:c>
      <x:c r="D425" s="7" t="n">
        <x:v>1704</x:v>
      </x:c>
      <x:c r="E425" s="6" t="n">
        <x:v>46218</x:v>
      </x:c>
      <x:c r="F425" t="n">
        <x:f>TODAY()-E425</x:f>
        <x:v>17</x:v>
      </x:c>
      <x:c r="G425" s="7" t="n">
        <x:f>SUMIF($A$5:$A$563,A425,$D$5:$D$563)</x:f>
        <x:v>7349</x:v>
      </x:c>
    </x:row>
    <x:row r="426">
      <x:c r="A426" t="str">
        <x:v>COMET TOOLS AND HARDWARE STORES</x:v>
      </x:c>
      <x:c r="B426" t="str">
        <x:v>NA/1698/26-27</x:v>
      </x:c>
      <x:c r="C426" s="6" t="n">
        <x:v>46224</x:v>
      </x:c>
      <x:c r="D426" s="7" t="n">
        <x:v>1125</x:v>
      </x:c>
      <x:c r="E426" s="6" t="n">
        <x:v>46224</x:v>
      </x:c>
      <x:c r="F426" t="n">
        <x:f>TODAY()-E426</x:f>
        <x:v>11</x:v>
      </x:c>
      <x:c r="G426" s="7" t="n">
        <x:f>SUMIF($A$5:$A$563,A426,$D$5:$D$563)</x:f>
        <x:v>7349</x:v>
      </x:c>
    </x:row>
    <x:row r="427">
      <x:c r="A427" t="str">
        <x:v>GIS Engineering Co</x:v>
      </x:c>
      <x:c r="B427" t="str">
        <x:v>NA/1122/26-27</x:v>
      </x:c>
      <x:c r="C427" s="6" t="n">
        <x:v>46186</x:v>
      </x:c>
      <x:c r="D427" s="7" t="n">
        <x:v>1768</x:v>
      </x:c>
      <x:c r="E427" s="6" t="n">
        <x:v>46186</x:v>
      </x:c>
      <x:c r="F427" t="n">
        <x:f>TODAY()-E427</x:f>
        <x:v>49</x:v>
      </x:c>
      <x:c r="G427" s="7" t="n">
        <x:f>SUMIF($A$5:$A$563,A427,$D$5:$D$563)</x:f>
        <x:v>67304</x:v>
      </x:c>
    </x:row>
    <x:row r="428">
      <x:c r="A428" t="str">
        <x:v>GIS Engineering Co</x:v>
      </x:c>
      <x:c r="B428" t="str">
        <x:v>NA/1133/26-27</x:v>
      </x:c>
      <x:c r="C428" s="6" t="n">
        <x:v>46186</x:v>
      </x:c>
      <x:c r="D428" s="7" t="n">
        <x:v>3634</x:v>
      </x:c>
      <x:c r="E428" s="6" t="n">
        <x:v>46186</x:v>
      </x:c>
      <x:c r="F428" t="n">
        <x:f>TODAY()-E428</x:f>
        <x:v>49</x:v>
      </x:c>
      <x:c r="G428" s="7" t="n">
        <x:f>SUMIF($A$5:$A$563,A428,$D$5:$D$563)</x:f>
        <x:v>67304</x:v>
      </x:c>
    </x:row>
    <x:row r="429">
      <x:c r="A429" t="str">
        <x:v>GIS Engineering Co</x:v>
      </x:c>
      <x:c r="B429" t="str">
        <x:v>NA/1242/26-27</x:v>
      </x:c>
      <x:c r="C429" s="6" t="n">
        <x:v>46200</x:v>
      </x:c>
      <x:c r="D429" s="7" t="n">
        <x:v>14618</x:v>
      </x:c>
      <x:c r="E429" s="6" t="n">
        <x:v>46200</x:v>
      </x:c>
      <x:c r="F429" t="n">
        <x:f>TODAY()-E429</x:f>
        <x:v>35</x:v>
      </x:c>
      <x:c r="G429" s="7" t="n">
        <x:f>SUMIF($A$5:$A$563,A429,$D$5:$D$563)</x:f>
        <x:v>67304</x:v>
      </x:c>
    </x:row>
    <x:row r="430">
      <x:c r="A430" t="str">
        <x:v>GIS Engineering Co</x:v>
      </x:c>
      <x:c r="B430" t="str">
        <x:v>NA/1359/26-27</x:v>
      </x:c>
      <x:c r="C430" s="6" t="n">
        <x:v>46207</x:v>
      </x:c>
      <x:c r="D430" s="7" t="n">
        <x:v>8047</x:v>
      </x:c>
      <x:c r="E430" s="6" t="n">
        <x:v>46207</x:v>
      </x:c>
      <x:c r="F430" t="n">
        <x:f>TODAY()-E430</x:f>
        <x:v>28</x:v>
      </x:c>
      <x:c r="G430" s="7" t="n">
        <x:f>SUMIF($A$5:$A$563,A430,$D$5:$D$563)</x:f>
        <x:v>67304</x:v>
      </x:c>
    </x:row>
    <x:row r="431">
      <x:c r="A431" t="str">
        <x:v>GIS Engineering Co</x:v>
      </x:c>
      <x:c r="B431" t="str">
        <x:v>NA/1497/26-27</x:v>
      </x:c>
      <x:c r="C431" s="6" t="n">
        <x:v>46214</x:v>
      </x:c>
      <x:c r="D431" s="7" t="n">
        <x:v>13047</x:v>
      </x:c>
      <x:c r="E431" s="6" t="n">
        <x:v>46214</x:v>
      </x:c>
      <x:c r="F431" t="n">
        <x:f>TODAY()-E431</x:f>
        <x:v>21</x:v>
      </x:c>
      <x:c r="G431" s="7" t="n">
        <x:f>SUMIF($A$5:$A$563,A431,$D$5:$D$563)</x:f>
        <x:v>67304</x:v>
      </x:c>
    </x:row>
    <x:row r="432">
      <x:c r="A432" t="str">
        <x:v>GIS Engineering Co</x:v>
      </x:c>
      <x:c r="B432" t="str">
        <x:v>NA/1637/26-27</x:v>
      </x:c>
      <x:c r="C432" s="6" t="n">
        <x:v>46221</x:v>
      </x:c>
      <x:c r="D432" s="7" t="n">
        <x:v>1800</x:v>
      </x:c>
      <x:c r="E432" s="6" t="n">
        <x:v>46221</x:v>
      </x:c>
      <x:c r="F432" t="n">
        <x:f>TODAY()-E432</x:f>
        <x:v>14</x:v>
      </x:c>
      <x:c r="G432" s="7" t="n">
        <x:f>SUMIF($A$5:$A$563,A432,$D$5:$D$563)</x:f>
        <x:v>67304</x:v>
      </x:c>
    </x:row>
    <x:row r="433">
      <x:c r="A433" t="str">
        <x:v>GIS Engineering Co</x:v>
      </x:c>
      <x:c r="B433" t="str">
        <x:v>NA/1768/26-27</x:v>
      </x:c>
      <x:c r="C433" s="6" t="n">
        <x:v>46228</x:v>
      </x:c>
      <x:c r="D433" s="7" t="n">
        <x:v>6750</x:v>
      </x:c>
      <x:c r="E433" s="6" t="n">
        <x:v>46228</x:v>
      </x:c>
      <x:c r="F433" t="n">
        <x:f>TODAY()-E433</x:f>
        <x:v>7</x:v>
      </x:c>
      <x:c r="G433" s="7" t="n">
        <x:f>SUMIF($A$5:$A$563,A433,$D$5:$D$563)</x:f>
        <x:v>67304</x:v>
      </x:c>
    </x:row>
    <x:row r="434">
      <x:c r="A434" t="str">
        <x:v>GIS Engineering Co</x:v>
      </x:c>
      <x:c r="B434" t="str">
        <x:v>NA/1893/26-27</x:v>
      </x:c>
      <x:c r="C434" s="6" t="n">
        <x:v>46235</x:v>
      </x:c>
      <x:c r="D434" s="7" t="n">
        <x:v>17640</x:v>
      </x:c>
      <x:c r="E434" s="6" t="n">
        <x:v>46235</x:v>
      </x:c>
      <x:c r="F434" t="n">
        <x:f>TODAY()-E434</x:f>
        <x:v>0</x:v>
      </x:c>
      <x:c r="G434" s="7" t="n">
        <x:f>SUMIF($A$5:$A$563,A434,$D$5:$D$563)</x:f>
        <x:v>67304</x:v>
      </x:c>
    </x:row>
    <x:row r="435">
      <x:c r="A435" t="str">
        <x:v>Perfect Industrial Suppliers</x:v>
      </x:c>
      <x:c r="B435" t="str">
        <x:v>NA/1117/26-27</x:v>
      </x:c>
      <x:c r="C435" s="6" t="n">
        <x:v>46186</x:v>
      </x:c>
      <x:c r="D435" s="7" t="n">
        <x:v>4017</x:v>
      </x:c>
      <x:c r="E435" s="6" t="n">
        <x:v>46186</x:v>
      </x:c>
      <x:c r="F435" t="n">
        <x:f>TODAY()-E435</x:f>
        <x:v>49</x:v>
      </x:c>
      <x:c r="G435" s="7" t="n">
        <x:f>SUMIF($A$5:$A$563,A435,$D$5:$D$563)</x:f>
        <x:v>15171</x:v>
      </x:c>
    </x:row>
    <x:row r="436">
      <x:c r="A436" t="str">
        <x:v>Perfect Industrial Suppliers</x:v>
      </x:c>
      <x:c r="B436" t="str">
        <x:v>NA/1244/26-27</x:v>
      </x:c>
      <x:c r="C436" s="6" t="n">
        <x:v>46200</x:v>
      </x:c>
      <x:c r="D436" s="7" t="n">
        <x:v>11154</x:v>
      </x:c>
      <x:c r="E436" s="6" t="n">
        <x:v>46200</x:v>
      </x:c>
      <x:c r="F436" t="n">
        <x:f>TODAY()-E436</x:f>
        <x:v>35</x:v>
      </x:c>
      <x:c r="G436" s="7" t="n">
        <x:f>SUMIF($A$5:$A$563,A436,$D$5:$D$563)</x:f>
        <x:v>15171</x:v>
      </x:c>
    </x:row>
    <x:row r="437">
      <x:c r="A437" t="str">
        <x:v>Amogha Polymers India Pvt Ltd</x:v>
      </x:c>
      <x:c r="B437" t="str">
        <x:v>NA/1149/26-27</x:v>
      </x:c>
      <x:c r="C437" s="6" t="n">
        <x:v>46188</x:v>
      </x:c>
      <x:c r="D437" s="7" t="n">
        <x:v>3704</x:v>
      </x:c>
      <x:c r="E437" s="6" t="n">
        <x:v>46188</x:v>
      </x:c>
      <x:c r="F437" t="n">
        <x:f>TODAY()-E437</x:f>
        <x:v>47</x:v>
      </x:c>
      <x:c r="G437" s="7" t="n">
        <x:f>SUMIF($A$5:$A$563,A437,$D$5:$D$563)</x:f>
        <x:v>12267</x:v>
      </x:c>
    </x:row>
    <x:row r="438">
      <x:c r="A438" t="str">
        <x:v>Amogha Polymers India Pvt Ltd</x:v>
      </x:c>
      <x:c r="B438" t="str">
        <x:v>NA/1383/26-27</x:v>
      </x:c>
      <x:c r="C438" s="6" t="n">
        <x:v>46209</x:v>
      </x:c>
      <x:c r="D438" s="7" t="n">
        <x:v>2739</x:v>
      </x:c>
      <x:c r="E438" s="6" t="n">
        <x:v>46209</x:v>
      </x:c>
      <x:c r="F438" t="n">
        <x:f>TODAY()-E438</x:f>
        <x:v>26</x:v>
      </x:c>
      <x:c r="G438" s="7" t="n">
        <x:f>SUMIF($A$5:$A$563,A438,$D$5:$D$563)</x:f>
        <x:v>12267</x:v>
      </x:c>
    </x:row>
    <x:row r="439">
      <x:c r="A439" t="str">
        <x:v>Amogha Polymers India Pvt Ltd</x:v>
      </x:c>
      <x:c r="B439" t="str">
        <x:v>NA/1716/26-27</x:v>
      </x:c>
      <x:c r="C439" s="6" t="n">
        <x:v>46225</x:v>
      </x:c>
      <x:c r="D439" s="7" t="n">
        <x:v>3453</x:v>
      </x:c>
      <x:c r="E439" s="6" t="n">
        <x:v>46225</x:v>
      </x:c>
      <x:c r="F439" t="n">
        <x:f>TODAY()-E439</x:f>
        <x:v>10</x:v>
      </x:c>
      <x:c r="G439" s="7" t="n">
        <x:f>SUMIF($A$5:$A$563,A439,$D$5:$D$563)</x:f>
        <x:v>12267</x:v>
      </x:c>
    </x:row>
    <x:row r="440">
      <x:c r="A440" t="str">
        <x:v>Amogha Polymers India Pvt Ltd</x:v>
      </x:c>
      <x:c r="B440" t="str">
        <x:v>NA/1870/26-27</x:v>
      </x:c>
      <x:c r="C440" s="6" t="n">
        <x:v>46234</x:v>
      </x:c>
      <x:c r="D440" s="7" t="n">
        <x:v>2371</x:v>
      </x:c>
      <x:c r="E440" s="6" t="n">
        <x:v>46234</x:v>
      </x:c>
      <x:c r="F440" t="n">
        <x:f>TODAY()-E440</x:f>
        <x:v>1</x:v>
      </x:c>
      <x:c r="G440" s="7" t="n">
        <x:f>SUMIF($A$5:$A$563,A440,$D$5:$D$563)</x:f>
        <x:v>12267</x:v>
      </x:c>
    </x:row>
    <x:row r="441">
      <x:c r="A441" t="str">
        <x:v>Concord Fire and Safety Equipments</x:v>
      </x:c>
      <x:c r="B441" t="str">
        <x:v>NA/1164/26-27</x:v>
      </x:c>
      <x:c r="C441" s="6" t="n">
        <x:v>46191</x:v>
      </x:c>
      <x:c r="D441" s="7" t="n">
        <x:v>3717</x:v>
      </x:c>
      <x:c r="E441" s="6" t="n">
        <x:v>46191</x:v>
      </x:c>
      <x:c r="F441" t="n">
        <x:f>TODAY()-E441</x:f>
        <x:v>44</x:v>
      </x:c>
      <x:c r="G441" s="7" t="n">
        <x:f>SUMIF($A$5:$A$563,A441,$D$5:$D$563)</x:f>
        <x:v>3717</x:v>
      </x:c>
    </x:row>
    <x:row r="442">
      <x:c r="A442" t="str">
        <x:v>Hitech Engineering Works</x:v>
      </x:c>
      <x:c r="B442" t="str">
        <x:v>NA/1167/26-27</x:v>
      </x:c>
      <x:c r="C442" s="6" t="n">
        <x:v>46191</x:v>
      </x:c>
      <x:c r="D442" s="7" t="n">
        <x:v>1558</x:v>
      </x:c>
      <x:c r="E442" s="6" t="n">
        <x:v>46191</x:v>
      </x:c>
      <x:c r="F442" t="n">
        <x:f>TODAY()-E442</x:f>
        <x:v>44</x:v>
      </x:c>
      <x:c r="G442" s="7" t="n">
        <x:f>SUMIF($A$5:$A$563,A442,$D$5:$D$563)</x:f>
        <x:v>3365</x:v>
      </x:c>
    </x:row>
    <x:row r="443">
      <x:c r="A443" t="str">
        <x:v>Hitech Engineering Works</x:v>
      </x:c>
      <x:c r="B443" t="str">
        <x:v>NA/1429/26-27</x:v>
      </x:c>
      <x:c r="C443" s="6" t="n">
        <x:v>46211</x:v>
      </x:c>
      <x:c r="D443" s="7" t="n">
        <x:v>1500</x:v>
      </x:c>
      <x:c r="E443" s="6" t="n">
        <x:v>46211</x:v>
      </x:c>
      <x:c r="F443" t="n">
        <x:f>TODAY()-E443</x:f>
        <x:v>24</x:v>
      </x:c>
      <x:c r="G443" s="7" t="n">
        <x:f>SUMIF($A$5:$A$563,A443,$D$5:$D$563)</x:f>
        <x:v>3365</x:v>
      </x:c>
    </x:row>
    <x:row r="444">
      <x:c r="A444" t="str">
        <x:v>Hitech Engineering Works</x:v>
      </x:c>
      <x:c r="B444" t="str">
        <x:v>NA/1476/26-27</x:v>
      </x:c>
      <x:c r="C444" s="6" t="n">
        <x:v>46213</x:v>
      </x:c>
      <x:c r="D444" s="7" t="n">
        <x:v>307</x:v>
      </x:c>
      <x:c r="E444" s="6" t="n">
        <x:v>46213</x:v>
      </x:c>
      <x:c r="F444" t="n">
        <x:f>TODAY()-E444</x:f>
        <x:v>22</x:v>
      </x:c>
      <x:c r="G444" s="7" t="n">
        <x:f>SUMIF($A$5:$A$563,A444,$D$5:$D$563)</x:f>
        <x:v>3365</x:v>
      </x:c>
    </x:row>
    <x:row r="445">
      <x:c r="A445" t="str">
        <x:v>Sangamam Agencies</x:v>
      </x:c>
      <x:c r="B445" t="str">
        <x:v>NA/1181/26-27</x:v>
      </x:c>
      <x:c r="C445" s="6" t="n">
        <x:v>46195</x:v>
      </x:c>
      <x:c r="D445" s="7" t="n">
        <x:v>5403</x:v>
      </x:c>
      <x:c r="E445" s="6" t="n">
        <x:v>46195</x:v>
      </x:c>
      <x:c r="F445" t="n">
        <x:f>TODAY()-E445</x:f>
        <x:v>40</x:v>
      </x:c>
      <x:c r="G445" s="7" t="n">
        <x:f>SUMIF($A$5:$A$563,A445,$D$5:$D$563)</x:f>
        <x:v>5403</x:v>
      </x:c>
    </x:row>
    <x:row r="446">
      <x:c r="A446" t="str">
        <x:v>SRI VIGNESWARAN AAGENCIES</x:v>
      </x:c>
      <x:c r="B446" t="str">
        <x:v>NA/1178/26-27</x:v>
      </x:c>
      <x:c r="C446" s="6" t="n">
        <x:v>46195</x:v>
      </x:c>
      <x:c r="D446" s="7" t="n">
        <x:v>7080</x:v>
      </x:c>
      <x:c r="E446" s="6" t="n">
        <x:v>46195</x:v>
      </x:c>
      <x:c r="F446" t="n">
        <x:f>TODAY()-E446</x:f>
        <x:v>40</x:v>
      </x:c>
      <x:c r="G446" s="7" t="n">
        <x:f>SUMIF($A$5:$A$563,A446,$D$5:$D$563)</x:f>
        <x:v>7080</x:v>
      </x:c>
    </x:row>
    <x:row r="447">
      <x:c r="A447" t="str">
        <x:v>General Industrial Suppliers</x:v>
      </x:c>
      <x:c r="B447" t="str">
        <x:v>NA/1202/26-27</x:v>
      </x:c>
      <x:c r="C447" s="6" t="n">
        <x:v>46198</x:v>
      </x:c>
      <x:c r="D447" s="7" t="n">
        <x:v>46030</x:v>
      </x:c>
      <x:c r="E447" s="6" t="n">
        <x:v>46198</x:v>
      </x:c>
      <x:c r="F447" t="n">
        <x:f>TODAY()-E447</x:f>
        <x:v>37</x:v>
      </x:c>
      <x:c r="G447" s="7" t="n">
        <x:f>SUMIF($A$5:$A$563,A447,$D$5:$D$563)</x:f>
        <x:v>145391</x:v>
      </x:c>
    </x:row>
    <x:row r="448">
      <x:c r="A448" t="str">
        <x:v>General Industrial Suppliers</x:v>
      </x:c>
      <x:c r="B448" t="str">
        <x:v>NA/1360/26-27</x:v>
      </x:c>
      <x:c r="C448" s="6" t="n">
        <x:v>46207</x:v>
      </x:c>
      <x:c r="D448" s="7" t="n">
        <x:v>9540</x:v>
      </x:c>
      <x:c r="E448" s="6" t="n">
        <x:v>46207</x:v>
      </x:c>
      <x:c r="F448" t="n">
        <x:f>TODAY()-E448</x:f>
        <x:v>28</x:v>
      </x:c>
      <x:c r="G448" s="7" t="n">
        <x:f>SUMIF($A$5:$A$563,A448,$D$5:$D$563)</x:f>
        <x:v>145391</x:v>
      </x:c>
    </x:row>
    <x:row r="449">
      <x:c r="A449" t="str">
        <x:v>General Industrial Suppliers</x:v>
      </x:c>
      <x:c r="B449" t="str">
        <x:v>NA/1409/26-27</x:v>
      </x:c>
      <x:c r="C449" s="6" t="n">
        <x:v>46210</x:v>
      </x:c>
      <x:c r="D449" s="7" t="n">
        <x:v>24038</x:v>
      </x:c>
      <x:c r="E449" s="6" t="n">
        <x:v>46210</x:v>
      </x:c>
      <x:c r="F449" t="n">
        <x:f>TODAY()-E449</x:f>
        <x:v>25</x:v>
      </x:c>
      <x:c r="G449" s="7" t="n">
        <x:f>SUMIF($A$5:$A$563,A449,$D$5:$D$563)</x:f>
        <x:v>145391</x:v>
      </x:c>
    </x:row>
    <x:row r="450">
      <x:c r="A450" t="str">
        <x:v>General Industrial Suppliers</x:v>
      </x:c>
      <x:c r="B450" t="str">
        <x:v>NA/1498/26-27</x:v>
      </x:c>
      <x:c r="C450" s="6" t="n">
        <x:v>46214</x:v>
      </x:c>
      <x:c r="D450" s="7" t="n">
        <x:v>25110</x:v>
      </x:c>
      <x:c r="E450" s="6" t="n">
        <x:v>46214</x:v>
      </x:c>
      <x:c r="F450" t="n">
        <x:f>TODAY()-E450</x:f>
        <x:v>21</x:v>
      </x:c>
      <x:c r="G450" s="7" t="n">
        <x:f>SUMIF($A$5:$A$563,A450,$D$5:$D$563)</x:f>
        <x:v>145391</x:v>
      </x:c>
    </x:row>
    <x:row r="451">
      <x:c r="A451" t="str">
        <x:v>General Industrial Suppliers</x:v>
      </x:c>
      <x:c r="B451" t="str">
        <x:v>NA/1641/26-27</x:v>
      </x:c>
      <x:c r="C451" s="6" t="n">
        <x:v>46221</x:v>
      </x:c>
      <x:c r="D451" s="7" t="n">
        <x:v>13120</x:v>
      </x:c>
      <x:c r="E451" s="6" t="n">
        <x:v>46221</x:v>
      </x:c>
      <x:c r="F451" t="n">
        <x:f>TODAY()-E451</x:f>
        <x:v>14</x:v>
      </x:c>
      <x:c r="G451" s="7" t="n">
        <x:f>SUMIF($A$5:$A$563,A451,$D$5:$D$563)</x:f>
        <x:v>145391</x:v>
      </x:c>
    </x:row>
    <x:row r="452">
      <x:c r="A452" t="str">
        <x:v>General Industrial Suppliers</x:v>
      </x:c>
      <x:c r="B452" t="str">
        <x:v>NA/1733/26-27</x:v>
      </x:c>
      <x:c r="C452" s="6" t="n">
        <x:v>46226</x:v>
      </x:c>
      <x:c r="D452" s="7" t="n">
        <x:v>3000</x:v>
      </x:c>
      <x:c r="E452" s="6" t="n">
        <x:v>46226</x:v>
      </x:c>
      <x:c r="F452" t="n">
        <x:f>TODAY()-E452</x:f>
        <x:v>9</x:v>
      </x:c>
      <x:c r="G452" s="7" t="n">
        <x:f>SUMIF($A$5:$A$563,A452,$D$5:$D$563)</x:f>
        <x:v>145391</x:v>
      </x:c>
    </x:row>
    <x:row r="453">
      <x:c r="A453" t="str">
        <x:v>General Industrial Suppliers</x:v>
      </x:c>
      <x:c r="B453" t="str">
        <x:v>NA/1767/26-27</x:v>
      </x:c>
      <x:c r="C453" s="6" t="n">
        <x:v>46228</x:v>
      </x:c>
      <x:c r="D453" s="7" t="n">
        <x:v>8733</x:v>
      </x:c>
      <x:c r="E453" s="6" t="n">
        <x:v>46228</x:v>
      </x:c>
      <x:c r="F453" t="n">
        <x:f>TODAY()-E453</x:f>
        <x:v>7</x:v>
      </x:c>
      <x:c r="G453" s="7" t="n">
        <x:f>SUMIF($A$5:$A$563,A453,$D$5:$D$563)</x:f>
        <x:v>145391</x:v>
      </x:c>
    </x:row>
    <x:row r="454">
      <x:c r="A454" t="str">
        <x:v>General Industrial Suppliers</x:v>
      </x:c>
      <x:c r="B454" t="str">
        <x:v>NA/1894/26-27</x:v>
      </x:c>
      <x:c r="C454" s="6" t="n">
        <x:v>46235</x:v>
      </x:c>
      <x:c r="D454" s="7" t="n">
        <x:v>15820</x:v>
      </x:c>
      <x:c r="E454" s="6" t="n">
        <x:v>46235</x:v>
      </x:c>
      <x:c r="F454" t="n">
        <x:f>TODAY()-E454</x:f>
        <x:v>0</x:v>
      </x:c>
      <x:c r="G454" s="7" t="n">
        <x:f>SUMIF($A$5:$A$563,A454,$D$5:$D$563)</x:f>
        <x:v>145391</x:v>
      </x:c>
    </x:row>
    <x:row r="455">
      <x:c r="A455" t="str">
        <x:v>Integrated Pacline India Private Limited</x:v>
      </x:c>
      <x:c r="B455" t="str">
        <x:v>NA/1191/26-27</x:v>
      </x:c>
      <x:c r="C455" s="6" t="n">
        <x:v>46198</x:v>
      </x:c>
      <x:c r="D455" s="7" t="n">
        <x:v>2950</x:v>
      </x:c>
      <x:c r="E455" s="6" t="n">
        <x:v>46198</x:v>
      </x:c>
      <x:c r="F455" t="n">
        <x:f>TODAY()-E455</x:f>
        <x:v>37</x:v>
      </x:c>
      <x:c r="G455" s="7" t="n">
        <x:f>SUMIF($A$5:$A$563,A455,$D$5:$D$563)</x:f>
        <x:v>180026</x:v>
      </x:c>
    </x:row>
    <x:row r="456">
      <x:c r="A456" t="str">
        <x:v>Integrated Pacline India Private Limited</x:v>
      </x:c>
      <x:c r="B456" t="str">
        <x:v>NA/1195/26-27</x:v>
      </x:c>
      <x:c r="C456" s="6" t="n">
        <x:v>46198</x:v>
      </x:c>
      <x:c r="D456" s="7" t="n">
        <x:v>36694</x:v>
      </x:c>
      <x:c r="E456" s="6" t="n">
        <x:v>46198</x:v>
      </x:c>
      <x:c r="F456" t="n">
        <x:f>TODAY()-E456</x:f>
        <x:v>37</x:v>
      </x:c>
      <x:c r="G456" s="7" t="n">
        <x:f>SUMIF($A$5:$A$563,A456,$D$5:$D$563)</x:f>
        <x:v>180026</x:v>
      </x:c>
    </x:row>
    <x:row r="457">
      <x:c r="A457" t="str">
        <x:v>Integrated Pacline India Private Limited</x:v>
      </x:c>
      <x:c r="B457" t="str">
        <x:v>NA/1216/26-27</x:v>
      </x:c>
      <x:c r="C457" s="6" t="n">
        <x:v>46199</x:v>
      </x:c>
      <x:c r="D457" s="7" t="n">
        <x:v>10891</x:v>
      </x:c>
      <x:c r="E457" s="6" t="n">
        <x:v>46199</x:v>
      </x:c>
      <x:c r="F457" t="n">
        <x:f>TODAY()-E457</x:f>
        <x:v>36</x:v>
      </x:c>
      <x:c r="G457" s="7" t="n">
        <x:f>SUMIF($A$5:$A$563,A457,$D$5:$D$563)</x:f>
        <x:v>180026</x:v>
      </x:c>
    </x:row>
    <x:row r="458">
      <x:c r="A458" t="str">
        <x:v>Integrated Pacline India Private Limited</x:v>
      </x:c>
      <x:c r="B458" t="str">
        <x:v>NA/1281/26-27</x:v>
      </x:c>
      <x:c r="C458" s="6" t="n">
        <x:v>46203</x:v>
      </x:c>
      <x:c r="D458" s="7" t="n">
        <x:v>36150</x:v>
      </x:c>
      <x:c r="E458" s="6" t="n">
        <x:v>46203</x:v>
      </x:c>
      <x:c r="F458" t="n">
        <x:f>TODAY()-E458</x:f>
        <x:v>32</x:v>
      </x:c>
      <x:c r="G458" s="7" t="n">
        <x:f>SUMIF($A$5:$A$563,A458,$D$5:$D$563)</x:f>
        <x:v>180026</x:v>
      </x:c>
    </x:row>
    <x:row r="459">
      <x:c r="A459" t="str">
        <x:v>Integrated Pacline India Private Limited</x:v>
      </x:c>
      <x:c r="B459" t="str">
        <x:v>NA/1300/26-27</x:v>
      </x:c>
      <x:c r="C459" s="6" t="n">
        <x:v>46204</x:v>
      </x:c>
      <x:c r="D459" s="7" t="n">
        <x:v>1890</x:v>
      </x:c>
      <x:c r="E459" s="6" t="n">
        <x:v>46204</x:v>
      </x:c>
      <x:c r="F459" t="n">
        <x:f>TODAY()-E459</x:f>
        <x:v>31</x:v>
      </x:c>
      <x:c r="G459" s="7" t="n">
        <x:f>SUMIF($A$5:$A$563,A459,$D$5:$D$563)</x:f>
        <x:v>180026</x:v>
      </x:c>
    </x:row>
    <x:row r="460">
      <x:c r="A460" t="str">
        <x:v>Integrated Pacline India Private Limited</x:v>
      </x:c>
      <x:c r="B460" t="str">
        <x:v>NA/1564/26-27</x:v>
      </x:c>
      <x:c r="C460" s="6" t="n">
        <x:v>46218</x:v>
      </x:c>
      <x:c r="D460" s="7" t="n">
        <x:v>44368</x:v>
      </x:c>
      <x:c r="E460" s="6" t="n">
        <x:v>46218</x:v>
      </x:c>
      <x:c r="F460" t="n">
        <x:f>TODAY()-E460</x:f>
        <x:v>17</x:v>
      </x:c>
      <x:c r="G460" s="7" t="n">
        <x:f>SUMIF($A$5:$A$563,A460,$D$5:$D$563)</x:f>
        <x:v>180026</x:v>
      </x:c>
    </x:row>
    <x:row r="461">
      <x:c r="A461" t="str">
        <x:v>Integrated Pacline India Private Limited</x:v>
      </x:c>
      <x:c r="B461" t="str">
        <x:v>NA/1627/26-27</x:v>
      </x:c>
      <x:c r="C461" s="6" t="n">
        <x:v>46221</x:v>
      </x:c>
      <x:c r="D461" s="7" t="n">
        <x:v>8614</x:v>
      </x:c>
      <x:c r="E461" s="6" t="n">
        <x:v>46221</x:v>
      </x:c>
      <x:c r="F461" t="n">
        <x:f>TODAY()-E461</x:f>
        <x:v>14</x:v>
      </x:c>
      <x:c r="G461" s="7" t="n">
        <x:f>SUMIF($A$5:$A$563,A461,$D$5:$D$563)</x:f>
        <x:v>180026</x:v>
      </x:c>
    </x:row>
    <x:row r="462">
      <x:c r="A462" t="str">
        <x:v>Integrated Pacline India Private Limited</x:v>
      </x:c>
      <x:c r="B462" t="str">
        <x:v>NA/1702/26-27</x:v>
      </x:c>
      <x:c r="C462" s="6" t="n">
        <x:v>46225</x:v>
      </x:c>
      <x:c r="D462" s="7" t="n">
        <x:v>945</x:v>
      </x:c>
      <x:c r="E462" s="6" t="n">
        <x:v>46225</x:v>
      </x:c>
      <x:c r="F462" t="n">
        <x:f>TODAY()-E462</x:f>
        <x:v>10</x:v>
      </x:c>
      <x:c r="G462" s="7" t="n">
        <x:f>SUMIF($A$5:$A$563,A462,$D$5:$D$563)</x:f>
        <x:v>180026</x:v>
      </x:c>
    </x:row>
    <x:row r="463">
      <x:c r="A463" t="str">
        <x:v>Integrated Pacline India Private Limited</x:v>
      </x:c>
      <x:c r="B463" t="str">
        <x:v>NA/1721/26-27</x:v>
      </x:c>
      <x:c r="C463" s="6" t="n">
        <x:v>46226</x:v>
      </x:c>
      <x:c r="D463" s="7" t="n">
        <x:v>7788</x:v>
      </x:c>
      <x:c r="E463" s="6" t="n">
        <x:v>46226</x:v>
      </x:c>
      <x:c r="F463" t="n">
        <x:f>TODAY()-E463</x:f>
        <x:v>9</x:v>
      </x:c>
      <x:c r="G463" s="7" t="n">
        <x:f>SUMIF($A$5:$A$563,A463,$D$5:$D$563)</x:f>
        <x:v>180026</x:v>
      </x:c>
    </x:row>
    <x:row r="464">
      <x:c r="A464" t="str">
        <x:v>Integrated Pacline India Private Limited</x:v>
      </x:c>
      <x:c r="B464" t="str">
        <x:v>NA/1793/26-27</x:v>
      </x:c>
      <x:c r="C464" s="6" t="n">
        <x:v>46230</x:v>
      </x:c>
      <x:c r="D464" s="7" t="n">
        <x:v>29736</x:v>
      </x:c>
      <x:c r="E464" s="6" t="n">
        <x:v>46230</x:v>
      </x:c>
      <x:c r="F464" t="n">
        <x:f>TODAY()-E464</x:f>
        <x:v>5</x:v>
      </x:c>
      <x:c r="G464" s="7" t="n">
        <x:f>SUMIF($A$5:$A$563,A464,$D$5:$D$563)</x:f>
        <x:v>180026</x:v>
      </x:c>
    </x:row>
    <x:row r="465">
      <x:c r="A465" t="str">
        <x:v>Popular Engineering Stores</x:v>
      </x:c>
      <x:c r="B465" t="str">
        <x:v>NA/1198/26-27</x:v>
      </x:c>
      <x:c r="C465" s="6" t="n">
        <x:v>46198</x:v>
      </x:c>
      <x:c r="D465" s="7" t="n">
        <x:v>15400</x:v>
      </x:c>
      <x:c r="E465" s="6" t="n">
        <x:v>46198</x:v>
      </x:c>
      <x:c r="F465" t="n">
        <x:f>TODAY()-E465</x:f>
        <x:v>37</x:v>
      </x:c>
      <x:c r="G465" s="7" t="n">
        <x:f>SUMIF($A$5:$A$563,A465,$D$5:$D$563)</x:f>
        <x:v>15925</x:v>
      </x:c>
    </x:row>
    <x:row r="466">
      <x:c r="A466" t="str">
        <x:v>Popular Engineering Stores</x:v>
      </x:c>
      <x:c r="B466" t="str">
        <x:v>NA/1253/26-27</x:v>
      </x:c>
      <x:c r="C466" s="6" t="n">
        <x:v>46200</x:v>
      </x:c>
      <x:c r="D466" s="7" t="n">
        <x:v>525</x:v>
      </x:c>
      <x:c r="E466" s="6" t="n">
        <x:v>46200</x:v>
      </x:c>
      <x:c r="F466" t="n">
        <x:f>TODAY()-E466</x:f>
        <x:v>35</x:v>
      </x:c>
      <x:c r="G466" s="7" t="n">
        <x:f>SUMIF($A$5:$A$563,A466,$D$5:$D$563)</x:f>
        <x:v>15925</x:v>
      </x:c>
    </x:row>
    <x:row r="467">
      <x:c r="A467" t="str">
        <x:v>Saif Industrial Supply Co</x:v>
      </x:c>
      <x:c r="B467" t="str">
        <x:v>NA/1188/26-27</x:v>
      </x:c>
      <x:c r="C467" s="6" t="n">
        <x:v>46198</x:v>
      </x:c>
      <x:c r="D467" s="7" t="n">
        <x:v>1400</x:v>
      </x:c>
      <x:c r="E467" s="6" t="n">
        <x:v>46198</x:v>
      </x:c>
      <x:c r="F467" t="n">
        <x:f>TODAY()-E467</x:f>
        <x:v>37</x:v>
      </x:c>
      <x:c r="G467" s="7" t="n">
        <x:f>SUMIF($A$5:$A$563,A467,$D$5:$D$563)</x:f>
        <x:v>4700</x:v>
      </x:c>
    </x:row>
    <x:row r="468">
      <x:c r="A468" t="str">
        <x:v>Saif Industrial Supply Co</x:v>
      </x:c>
      <x:c r="B468" t="str">
        <x:v>NA/1406/26-27</x:v>
      </x:c>
      <x:c r="C468" s="6" t="n">
        <x:v>46210</x:v>
      </x:c>
      <x:c r="D468" s="7" t="n">
        <x:v>3300</x:v>
      </x:c>
      <x:c r="E468" s="6" t="n">
        <x:v>46210</x:v>
      </x:c>
      <x:c r="F468" t="n">
        <x:f>TODAY()-E468</x:f>
        <x:v>25</x:v>
      </x:c>
      <x:c r="G468" s="7" t="n">
        <x:f>SUMIF($A$5:$A$563,A468,$D$5:$D$563)</x:f>
        <x:v>4700</x:v>
      </x:c>
    </x:row>
    <x:row r="469">
      <x:c r="A469" t="str">
        <x:v>MB Tools Corporation</x:v>
      </x:c>
      <x:c r="B469" t="str">
        <x:v>NA/1221/26-27</x:v>
      </x:c>
      <x:c r="C469" s="6" t="n">
        <x:v>46199</x:v>
      </x:c>
      <x:c r="D469" s="7" t="n">
        <x:v>1200</x:v>
      </x:c>
      <x:c r="E469" s="6" t="n">
        <x:v>46199</x:v>
      </x:c>
      <x:c r="F469" t="n">
        <x:f>TODAY()-E469</x:f>
        <x:v>36</x:v>
      </x:c>
      <x:c r="G469" s="7" t="n">
        <x:f>SUMIF($A$5:$A$563,A469,$D$5:$D$563)</x:f>
        <x:v>1200</x:v>
      </x:c>
    </x:row>
    <x:row r="470">
      <x:c r="A470" t="str">
        <x:v>Hardware Tools &amp; Machinery Mart</x:v>
      </x:c>
      <x:c r="B470" t="str">
        <x:v>NA/1239/26-27</x:v>
      </x:c>
      <x:c r="C470" s="6" t="n">
        <x:v>46200</x:v>
      </x:c>
      <x:c r="D470" s="7" t="n">
        <x:v>3186</x:v>
      </x:c>
      <x:c r="E470" s="6" t="n">
        <x:v>46200</x:v>
      </x:c>
      <x:c r="F470" t="n">
        <x:f>TODAY()-E470</x:f>
        <x:v>35</x:v>
      </x:c>
      <x:c r="G470" s="7" t="n">
        <x:f>SUMIF($A$5:$A$563,A470,$D$5:$D$563)</x:f>
        <x:v>3186</x:v>
      </x:c>
    </x:row>
    <x:row r="471">
      <x:c r="A471" t="str">
        <x:v>Prime Trading Company</x:v>
      </x:c>
      <x:c r="B471" t="str">
        <x:v>NA/1238/26-27</x:v>
      </x:c>
      <x:c r="C471" s="6" t="n">
        <x:v>46200</x:v>
      </x:c>
      <x:c r="D471" s="7" t="n">
        <x:v>44775</x:v>
      </x:c>
      <x:c r="E471" s="6" t="n">
        <x:v>46200</x:v>
      </x:c>
      <x:c r="F471" t="n">
        <x:f>TODAY()-E471</x:f>
        <x:v>35</x:v>
      </x:c>
      <x:c r="G471" s="7" t="n">
        <x:f>SUMIF($A$5:$A$563,A471,$D$5:$D$563)</x:f>
        <x:v>107502</x:v>
      </x:c>
    </x:row>
    <x:row r="472">
      <x:c r="A472" t="str">
        <x:v>Prime Trading Company</x:v>
      </x:c>
      <x:c r="B472" t="str">
        <x:v>NA/1259/26-27</x:v>
      </x:c>
      <x:c r="C472" s="6" t="n">
        <x:v>46202</x:v>
      </x:c>
      <x:c r="D472" s="7" t="n">
        <x:v>21168</x:v>
      </x:c>
      <x:c r="E472" s="6" t="n">
        <x:v>46202</x:v>
      </x:c>
      <x:c r="F472" t="n">
        <x:f>TODAY()-E472</x:f>
        <x:v>33</x:v>
      </x:c>
      <x:c r="G472" s="7" t="n">
        <x:f>SUMIF($A$5:$A$563,A472,$D$5:$D$563)</x:f>
        <x:v>107502</x:v>
      </x:c>
    </x:row>
    <x:row r="473">
      <x:c r="A473" t="str">
        <x:v>Prime Trading Company</x:v>
      </x:c>
      <x:c r="B473" t="str">
        <x:v>NA/1364/26-27</x:v>
      </x:c>
      <x:c r="C473" s="6" t="n">
        <x:v>46207</x:v>
      </x:c>
      <x:c r="D473" s="7" t="n">
        <x:v>5850</x:v>
      </x:c>
      <x:c r="E473" s="6" t="n">
        <x:v>46207</x:v>
      </x:c>
      <x:c r="F473" t="n">
        <x:f>TODAY()-E473</x:f>
        <x:v>28</x:v>
      </x:c>
      <x:c r="G473" s="7" t="n">
        <x:f>SUMIF($A$5:$A$563,A473,$D$5:$D$563)</x:f>
        <x:v>107502</x:v>
      </x:c>
    </x:row>
    <x:row r="474">
      <x:c r="A474" t="str">
        <x:v>Prime Trading Company</x:v>
      </x:c>
      <x:c r="B474" t="str">
        <x:v>NA/1496/26-27</x:v>
      </x:c>
      <x:c r="C474" s="6" t="n">
        <x:v>46214</x:v>
      </x:c>
      <x:c r="D474" s="7" t="n">
        <x:v>26519</x:v>
      </x:c>
      <x:c r="E474" s="6" t="n">
        <x:v>46214</x:v>
      </x:c>
      <x:c r="F474" t="n">
        <x:f>TODAY()-E474</x:f>
        <x:v>21</x:v>
      </x:c>
      <x:c r="G474" s="7" t="n">
        <x:f>SUMIF($A$5:$A$563,A474,$D$5:$D$563)</x:f>
        <x:v>107502</x:v>
      </x:c>
    </x:row>
    <x:row r="475">
      <x:c r="A475" t="str">
        <x:v>Prime Trading Company</x:v>
      </x:c>
      <x:c r="B475" t="str">
        <x:v>NA/1774/26-27</x:v>
      </x:c>
      <x:c r="C475" s="6" t="n">
        <x:v>46228</x:v>
      </x:c>
      <x:c r="D475" s="7" t="n">
        <x:v>9190</x:v>
      </x:c>
      <x:c r="E475" s="6" t="n">
        <x:v>46228</x:v>
      </x:c>
      <x:c r="F475" t="n">
        <x:f>TODAY()-E475</x:f>
        <x:v>7</x:v>
      </x:c>
      <x:c r="G475" s="7" t="n">
        <x:f>SUMIF($A$5:$A$563,A475,$D$5:$D$563)</x:f>
        <x:v>107502</x:v>
      </x:c>
    </x:row>
    <x:row r="476">
      <x:c r="A476" t="str">
        <x:v>Triumph Trading Company</x:v>
      </x:c>
      <x:c r="B476" t="str">
        <x:v>NA/1241/26-27</x:v>
      </x:c>
      <x:c r="C476" s="6" t="n">
        <x:v>46200</x:v>
      </x:c>
      <x:c r="D476" s="7" t="n">
        <x:v>20730</x:v>
      </x:c>
      <x:c r="E476" s="6" t="n">
        <x:v>46200</x:v>
      </x:c>
      <x:c r="F476" t="n">
        <x:f>TODAY()-E476</x:f>
        <x:v>35</x:v>
      </x:c>
      <x:c r="G476" s="7" t="n">
        <x:f>SUMIF($A$5:$A$563,A476,$D$5:$D$563)</x:f>
        <x:v>29138</x:v>
      </x:c>
    </x:row>
    <x:row r="477">
      <x:c r="A477" t="str">
        <x:v>Triumph Trading Company</x:v>
      </x:c>
      <x:c r="B477" t="str">
        <x:v>NA/1361/26-27</x:v>
      </x:c>
      <x:c r="C477" s="6" t="n">
        <x:v>46207</x:v>
      </x:c>
      <x:c r="D477" s="7" t="n">
        <x:v>270</x:v>
      </x:c>
      <x:c r="E477" s="6" t="n">
        <x:v>46207</x:v>
      </x:c>
      <x:c r="F477" t="n">
        <x:f>TODAY()-E477</x:f>
        <x:v>28</x:v>
      </x:c>
      <x:c r="G477" s="7" t="n">
        <x:f>SUMIF($A$5:$A$563,A477,$D$5:$D$563)</x:f>
        <x:v>29138</x:v>
      </x:c>
    </x:row>
    <x:row r="478">
      <x:c r="A478" t="str">
        <x:v>Triumph Trading Company</x:v>
      </x:c>
      <x:c r="B478" t="str">
        <x:v>NA/1492/26-27</x:v>
      </x:c>
      <x:c r="C478" s="6" t="n">
        <x:v>46214</x:v>
      </x:c>
      <x:c r="D478" s="7" t="n">
        <x:v>450</x:v>
      </x:c>
      <x:c r="E478" s="6" t="n">
        <x:v>46214</x:v>
      </x:c>
      <x:c r="F478" t="n">
        <x:f>TODAY()-E478</x:f>
        <x:v>21</x:v>
      </x:c>
      <x:c r="G478" s="7" t="n">
        <x:f>SUMIF($A$5:$A$563,A478,$D$5:$D$563)</x:f>
        <x:v>29138</x:v>
      </x:c>
    </x:row>
    <x:row r="479">
      <x:c r="A479" t="str">
        <x:v>Triumph Trading Company</x:v>
      </x:c>
      <x:c r="B479" t="str">
        <x:v>NA/1722/26-27</x:v>
      </x:c>
      <x:c r="C479" s="6" t="n">
        <x:v>46226</x:v>
      </x:c>
      <x:c r="D479" s="7" t="n">
        <x:v>1008</x:v>
      </x:c>
      <x:c r="E479" s="6" t="n">
        <x:v>46226</x:v>
      </x:c>
      <x:c r="F479" t="n">
        <x:f>TODAY()-E479</x:f>
        <x:v>9</x:v>
      </x:c>
      <x:c r="G479" s="7" t="n">
        <x:f>SUMIF($A$5:$A$563,A479,$D$5:$D$563)</x:f>
        <x:v>29138</x:v>
      </x:c>
    </x:row>
    <x:row r="480">
      <x:c r="A480" t="str">
        <x:v>Triumph Trading Company</x:v>
      </x:c>
      <x:c r="B480" t="str">
        <x:v>NA/1791/26-27</x:v>
      </x:c>
      <x:c r="C480" s="6" t="n">
        <x:v>46230</x:v>
      </x:c>
      <x:c r="D480" s="7" t="n">
        <x:v>6480</x:v>
      </x:c>
      <x:c r="E480" s="6" t="n">
        <x:v>46230</x:v>
      </x:c>
      <x:c r="F480" t="n">
        <x:f>TODAY()-E480</x:f>
        <x:v>5</x:v>
      </x:c>
      <x:c r="G480" s="7" t="n">
        <x:f>SUMIF($A$5:$A$563,A480,$D$5:$D$563)</x:f>
        <x:v>29138</x:v>
      </x:c>
    </x:row>
    <x:row r="481">
      <x:c r="A481" t="str">
        <x:v>Triumph Trading Company</x:v>
      </x:c>
      <x:c r="B481" t="str">
        <x:v>NA/1895/26-27</x:v>
      </x:c>
      <x:c r="C481" s="6" t="n">
        <x:v>46235</x:v>
      </x:c>
      <x:c r="D481" s="7" t="n">
        <x:v>200</x:v>
      </x:c>
      <x:c r="E481" s="6" t="n">
        <x:v>46235</x:v>
      </x:c>
      <x:c r="F481" t="n">
        <x:f>TODAY()-E481</x:f>
        <x:v>0</x:v>
      </x:c>
      <x:c r="G481" s="7" t="n">
        <x:f>SUMIF($A$5:$A$563,A481,$D$5:$D$563)</x:f>
        <x:v>29138</x:v>
      </x:c>
    </x:row>
    <x:row r="482">
      <x:c r="A482" t="str">
        <x:v>Meem Bay Enterprises</x:v>
      </x:c>
      <x:c r="B482" t="str">
        <x:v>NA/1285/26-27</x:v>
      </x:c>
      <x:c r="C482" s="6" t="n">
        <x:v>46203</x:v>
      </x:c>
      <x:c r="D482" s="7" t="n">
        <x:v>3150</x:v>
      </x:c>
      <x:c r="E482" s="6" t="n">
        <x:v>46203</x:v>
      </x:c>
      <x:c r="F482" t="n">
        <x:f>TODAY()-E482</x:f>
        <x:v>32</x:v>
      </x:c>
      <x:c r="G482" s="7" t="n">
        <x:f>SUMIF($A$5:$A$563,A482,$D$5:$D$563)</x:f>
        <x:v>3150</x:v>
      </x:c>
    </x:row>
    <x:row r="483">
      <x:c r="A483" t="str">
        <x:v>Pavithra and Co</x:v>
      </x:c>
      <x:c r="B483" t="str">
        <x:v>NA/1286/26-27</x:v>
      </x:c>
      <x:c r="C483" s="6" t="n">
        <x:v>46203</x:v>
      </x:c>
      <x:c r="D483" s="7" t="n">
        <x:v>7357</x:v>
      </x:c>
      <x:c r="E483" s="6" t="n">
        <x:v>46203</x:v>
      </x:c>
      <x:c r="F483" t="n">
        <x:f>TODAY()-E483</x:f>
        <x:v>32</x:v>
      </x:c>
      <x:c r="G483" s="7" t="n">
        <x:f>SUMIF($A$5:$A$563,A483,$D$5:$D$563)</x:f>
        <x:v>7357</x:v>
      </x:c>
    </x:row>
    <x:row r="484">
      <x:c r="A484" t="str">
        <x:v>Saif Tools &amp; Machineries</x:v>
      </x:c>
      <x:c r="B484" t="str">
        <x:v>NA/1306/26-27</x:v>
      </x:c>
      <x:c r="C484" s="6" t="n">
        <x:v>46204</x:v>
      </x:c>
      <x:c r="D484" s="7" t="n">
        <x:v>1040</x:v>
      </x:c>
      <x:c r="E484" s="6" t="n">
        <x:v>46204</x:v>
      </x:c>
      <x:c r="F484" t="n">
        <x:f>TODAY()-E484</x:f>
        <x:v>31</x:v>
      </x:c>
      <x:c r="G484" s="7" t="n">
        <x:f>SUMIF($A$5:$A$563,A484,$D$5:$D$563)</x:f>
        <x:v>1040</x:v>
      </x:c>
    </x:row>
    <x:row r="485">
      <x:c r="A485" t="str">
        <x:v>TOTAR FABS ENI PRIVATE LIMITED</x:v>
      </x:c>
      <x:c r="B485" t="str">
        <x:v>NA/1299/26-27</x:v>
      </x:c>
      <x:c r="C485" s="6" t="n">
        <x:v>46204</x:v>
      </x:c>
      <x:c r="D485" s="7" t="n">
        <x:v>6210</x:v>
      </x:c>
      <x:c r="E485" s="6" t="n">
        <x:v>46204</x:v>
      </x:c>
      <x:c r="F485" t="n">
        <x:f>TODAY()-E485</x:f>
        <x:v>31</x:v>
      </x:c>
      <x:c r="G485" s="7" t="n">
        <x:f>SUMIF($A$5:$A$563,A485,$D$5:$D$563)</x:f>
        <x:v>7480</x:v>
      </x:c>
    </x:row>
    <x:row r="486">
      <x:c r="A486" t="str">
        <x:v>TOTAR FABS ENI PRIVATE LIMITED</x:v>
      </x:c>
      <x:c r="B486" t="str">
        <x:v>NA/1418/26-27</x:v>
      </x:c>
      <x:c r="C486" s="6" t="n">
        <x:v>46211</x:v>
      </x:c>
      <x:c r="D486" s="7" t="n">
        <x:v>520</x:v>
      </x:c>
      <x:c r="E486" s="6" t="n">
        <x:v>46211</x:v>
      </x:c>
      <x:c r="F486" t="n">
        <x:f>TODAY()-E486</x:f>
        <x:v>24</x:v>
      </x:c>
      <x:c r="G486" s="7" t="n">
        <x:f>SUMIF($A$5:$A$563,A486,$D$5:$D$563)</x:f>
        <x:v>7480</x:v>
      </x:c>
    </x:row>
    <x:row r="487">
      <x:c r="A487" t="str">
        <x:v>TOTAR FABS ENI PRIVATE LIMITED</x:v>
      </x:c>
      <x:c r="B487" t="str">
        <x:v>NA/1482/26-27</x:v>
      </x:c>
      <x:c r="C487" s="6" t="n">
        <x:v>46213</x:v>
      </x:c>
      <x:c r="D487" s="7" t="n">
        <x:v>750</x:v>
      </x:c>
      <x:c r="E487" s="6" t="n">
        <x:v>46213</x:v>
      </x:c>
      <x:c r="F487" t="n">
        <x:f>TODAY()-E487</x:f>
        <x:v>22</x:v>
      </x:c>
      <x:c r="G487" s="7" t="n">
        <x:f>SUMIF($A$5:$A$563,A487,$D$5:$D$563)</x:f>
        <x:v>7480</x:v>
      </x:c>
    </x:row>
    <x:row r="488">
      <x:c r="A488" t="str">
        <x:v>Fairdeal Industrial Suppliers</x:v>
      </x:c>
      <x:c r="B488" t="str">
        <x:v>NA/1329/26-27</x:v>
      </x:c>
      <x:c r="C488" s="6" t="n">
        <x:v>46205</x:v>
      </x:c>
      <x:c r="D488" s="7" t="n">
        <x:v>15000</x:v>
      </x:c>
      <x:c r="E488" s="6" t="n">
        <x:v>46205</x:v>
      </x:c>
      <x:c r="F488" t="n">
        <x:f>TODAY()-E488</x:f>
        <x:v>30</x:v>
      </x:c>
      <x:c r="G488" s="7" t="n">
        <x:f>SUMIF($A$5:$A$563,A488,$D$5:$D$563)</x:f>
        <x:v>30500</x:v>
      </x:c>
    </x:row>
    <x:row r="489">
      <x:c r="A489" t="str">
        <x:v>Fairdeal Industrial Suppliers</x:v>
      </x:c>
      <x:c r="B489" t="str">
        <x:v>NA/1647/26-27</x:v>
      </x:c>
      <x:c r="C489" s="6" t="n">
        <x:v>46221</x:v>
      </x:c>
      <x:c r="D489" s="7" t="n">
        <x:v>500</x:v>
      </x:c>
      <x:c r="E489" s="6" t="n">
        <x:v>46221</x:v>
      </x:c>
      <x:c r="F489" t="n">
        <x:f>TODAY()-E489</x:f>
        <x:v>14</x:v>
      </x:c>
      <x:c r="G489" s="7" t="n">
        <x:f>SUMIF($A$5:$A$563,A489,$D$5:$D$563)</x:f>
        <x:v>30500</x:v>
      </x:c>
    </x:row>
    <x:row r="490">
      <x:c r="A490" t="str">
        <x:v>Fairdeal Industrial Suppliers</x:v>
      </x:c>
      <x:c r="B490" t="str">
        <x:v>NA/1775/26-27</x:v>
      </x:c>
      <x:c r="C490" s="6" t="n">
        <x:v>46228</x:v>
      </x:c>
      <x:c r="D490" s="7" t="n">
        <x:v>15000</x:v>
      </x:c>
      <x:c r="E490" s="6" t="n">
        <x:v>46228</x:v>
      </x:c>
      <x:c r="F490" t="n">
        <x:f>TODAY()-E490</x:f>
        <x:v>7</x:v>
      </x:c>
      <x:c r="G490" s="7" t="n">
        <x:f>SUMIF($A$5:$A$563,A490,$D$5:$D$563)</x:f>
        <x:v>30500</x:v>
      </x:c>
    </x:row>
    <x:row r="491">
      <x:c r="A491" t="str">
        <x:v>PRESSANA MOTORS</x:v>
      </x:c>
      <x:c r="B491" t="str">
        <x:v>NA/1331/26-27</x:v>
      </x:c>
      <x:c r="C491" s="6" t="n">
        <x:v>46206</x:v>
      </x:c>
      <x:c r="D491" s="7" t="n">
        <x:v>295</x:v>
      </x:c>
      <x:c r="E491" s="6" t="n">
        <x:v>46206</x:v>
      </x:c>
      <x:c r="F491" t="n">
        <x:f>TODAY()-E491</x:f>
        <x:v>29</x:v>
      </x:c>
      <x:c r="G491" s="7" t="n">
        <x:f>SUMIF($A$5:$A$563,A491,$D$5:$D$563)</x:f>
        <x:v>295</x:v>
      </x:c>
    </x:row>
    <x:row r="492">
      <x:c r="A492" t="str">
        <x:v>PRESSANA POULTRY FARMS</x:v>
      </x:c>
      <x:c r="B492" t="str">
        <x:v>NA/1332/26-27</x:v>
      </x:c>
      <x:c r="C492" s="6" t="n">
        <x:v>46206</x:v>
      </x:c>
      <x:c r="D492" s="7" t="n">
        <x:v>2832</x:v>
      </x:c>
      <x:c r="E492" s="6" t="n">
        <x:v>46206</x:v>
      </x:c>
      <x:c r="F492" t="n">
        <x:f>TODAY()-E492</x:f>
        <x:v>29</x:v>
      </x:c>
      <x:c r="G492" s="7" t="n">
        <x:f>SUMIF($A$5:$A$563,A492,$D$5:$D$563)</x:f>
        <x:v>2832</x:v>
      </x:c>
    </x:row>
    <x:row r="493">
      <x:c r="A493" t="str">
        <x:v>SHIBAM ENGINEERING &amp; PNEUMATICS</x:v>
      </x:c>
      <x:c r="B493" t="str">
        <x:v>NA/1376/26-27</x:v>
      </x:c>
      <x:c r="C493" s="6" t="n">
        <x:v>46207</x:v>
      </x:c>
      <x:c r="D493" s="7" t="n">
        <x:v>2880</x:v>
      </x:c>
      <x:c r="E493" s="6" t="n">
        <x:v>46207</x:v>
      </x:c>
      <x:c r="F493" t="n">
        <x:f>TODAY()-E493</x:f>
        <x:v>28</x:v>
      </x:c>
      <x:c r="G493" s="7" t="n">
        <x:f>SUMIF($A$5:$A$563,A493,$D$5:$D$563)</x:f>
        <x:v>2880</x:v>
      </x:c>
    </x:row>
    <x:row r="494">
      <x:c r="A494" t="str">
        <x:v>SHANTHI ELECTRICALS AND HARDWARES</x:v>
      </x:c>
      <x:c r="B494" t="str">
        <x:v>NA/1399/26-27</x:v>
      </x:c>
      <x:c r="C494" s="6" t="n">
        <x:v>46209</x:v>
      </x:c>
      <x:c r="D494" s="7" t="n">
        <x:v>310</x:v>
      </x:c>
      <x:c r="E494" s="6" t="n">
        <x:v>46209</x:v>
      </x:c>
      <x:c r="F494" t="n">
        <x:f>TODAY()-E494</x:f>
        <x:v>26</x:v>
      </x:c>
      <x:c r="G494" s="7" t="n">
        <x:f>SUMIF($A$5:$A$563,A494,$D$5:$D$563)</x:f>
        <x:v>8878</x:v>
      </x:c>
    </x:row>
    <x:row r="495">
      <x:c r="A495" t="str">
        <x:v>SHANTHI ELECTRICALS AND HARDWARES</x:v>
      </x:c>
      <x:c r="B495" t="str">
        <x:v>NA/1412/26-27</x:v>
      </x:c>
      <x:c r="C495" s="6" t="n">
        <x:v>46210</x:v>
      </x:c>
      <x:c r="D495" s="7" t="n">
        <x:v>3700</x:v>
      </x:c>
      <x:c r="E495" s="6" t="n">
        <x:v>46210</x:v>
      </x:c>
      <x:c r="F495" t="n">
        <x:f>TODAY()-E495</x:f>
        <x:v>25</x:v>
      </x:c>
      <x:c r="G495" s="7" t="n">
        <x:f>SUMIF($A$5:$A$563,A495,$D$5:$D$563)</x:f>
        <x:v>8878</x:v>
      </x:c>
    </x:row>
    <x:row r="496">
      <x:c r="A496" t="str">
        <x:v>SHANTHI ELECTRICALS AND HARDWARES</x:v>
      </x:c>
      <x:c r="B496" t="str">
        <x:v>NA/1421/26-27</x:v>
      </x:c>
      <x:c r="C496" s="6" t="n">
        <x:v>46211</x:v>
      </x:c>
      <x:c r="D496" s="7" t="n">
        <x:v>850</x:v>
      </x:c>
      <x:c r="E496" s="6" t="n">
        <x:v>46211</x:v>
      </x:c>
      <x:c r="F496" t="n">
        <x:f>TODAY()-E496</x:f>
        <x:v>24</x:v>
      </x:c>
      <x:c r="G496" s="7" t="n">
        <x:f>SUMIF($A$5:$A$563,A496,$D$5:$D$563)</x:f>
        <x:v>8878</x:v>
      </x:c>
    </x:row>
    <x:row r="497">
      <x:c r="A497" t="str">
        <x:v>SHANTHI ELECTRICALS AND HARDWARES</x:v>
      </x:c>
      <x:c r="B497" t="str">
        <x:v>NA/1704/26-27</x:v>
      </x:c>
      <x:c r="C497" s="6" t="n">
        <x:v>46225</x:v>
      </x:c>
      <x:c r="D497" s="7" t="n">
        <x:v>2290</x:v>
      </x:c>
      <x:c r="E497" s="6" t="n">
        <x:v>46225</x:v>
      </x:c>
      <x:c r="F497" t="n">
        <x:f>TODAY()-E497</x:f>
        <x:v>10</x:v>
      </x:c>
      <x:c r="G497" s="7" t="n">
        <x:f>SUMIF($A$5:$A$563,A497,$D$5:$D$563)</x:f>
        <x:v>8878</x:v>
      </x:c>
    </x:row>
    <x:row r="498">
      <x:c r="A498" t="str">
        <x:v>SHANTHI ELECTRICALS AND HARDWARES</x:v>
      </x:c>
      <x:c r="B498" t="str">
        <x:v>NA/1832/26-27</x:v>
      </x:c>
      <x:c r="C498" s="6" t="n">
        <x:v>46231</x:v>
      </x:c>
      <x:c r="D498" s="7" t="n">
        <x:v>1728</x:v>
      </x:c>
      <x:c r="E498" s="6" t="n">
        <x:v>46231</x:v>
      </x:c>
      <x:c r="F498" t="n">
        <x:f>TODAY()-E498</x:f>
        <x:v>4</x:v>
      </x:c>
      <x:c r="G498" s="7" t="n">
        <x:f>SUMIF($A$5:$A$563,A498,$D$5:$D$563)</x:f>
        <x:v>8878</x:v>
      </x:c>
    </x:row>
    <x:row r="499">
      <x:c r="A499" t="str">
        <x:v>TAHERI HARDWARE MART</x:v>
      </x:c>
      <x:c r="B499" t="str">
        <x:v>NA/1386/26-27</x:v>
      </x:c>
      <x:c r="C499" s="6" t="n">
        <x:v>46209</x:v>
      </x:c>
      <x:c r="D499" s="7" t="n">
        <x:v>2360</x:v>
      </x:c>
      <x:c r="E499" s="6" t="n">
        <x:v>46209</x:v>
      </x:c>
      <x:c r="F499" t="n">
        <x:f>TODAY()-E499</x:f>
        <x:v>26</x:v>
      </x:c>
      <x:c r="G499" s="7" t="n">
        <x:f>SUMIF($A$5:$A$563,A499,$D$5:$D$563)</x:f>
        <x:v>2360</x:v>
      </x:c>
    </x:row>
    <x:row r="500">
      <x:c r="A500" t="str">
        <x:v>Kapadiya Tools Syndicate</x:v>
      </x:c>
      <x:c r="B500" t="str">
        <x:v>NA/1404/26-27</x:v>
      </x:c>
      <x:c r="C500" s="6" t="n">
        <x:v>46210</x:v>
      </x:c>
      <x:c r="D500" s="7" t="n">
        <x:v>675</x:v>
      </x:c>
      <x:c r="E500" s="6" t="n">
        <x:v>46210</x:v>
      </x:c>
      <x:c r="F500" t="n">
        <x:f>TODAY()-E500</x:f>
        <x:v>25</x:v>
      </x:c>
      <x:c r="G500" s="7" t="n">
        <x:f>SUMIF($A$5:$A$563,A500,$D$5:$D$563)</x:f>
        <x:v>675</x:v>
      </x:c>
    </x:row>
    <x:row r="501">
      <x:c r="A501" t="str">
        <x:v>Magnic Technologies Pvt Ltd</x:v>
      </x:c>
      <x:c r="B501" t="str">
        <x:v>NA/1411/26-27</x:v>
      </x:c>
      <x:c r="C501" s="6" t="n">
        <x:v>46210</x:v>
      </x:c>
      <x:c r="D501" s="7" t="n">
        <x:v>7670</x:v>
      </x:c>
      <x:c r="E501" s="6" t="n">
        <x:v>46210</x:v>
      </x:c>
      <x:c r="F501" t="n">
        <x:f>TODAY()-E501</x:f>
        <x:v>25</x:v>
      </x:c>
      <x:c r="G501" s="7" t="n">
        <x:f>SUMIF($A$5:$A$563,A501,$D$5:$D$563)</x:f>
        <x:v>7670</x:v>
      </x:c>
    </x:row>
    <x:row r="502">
      <x:c r="A502" t="str">
        <x:v>AM Machine Tools Centre</x:v>
      </x:c>
      <x:c r="B502" t="str">
        <x:v>NA/1428/26-27</x:v>
      </x:c>
      <x:c r="C502" s="6" t="n">
        <x:v>46211</x:v>
      </x:c>
      <x:c r="D502" s="7" t="n">
        <x:v>15000</x:v>
      </x:c>
      <x:c r="E502" s="6" t="n">
        <x:v>46211</x:v>
      </x:c>
      <x:c r="F502" t="n">
        <x:f>TODAY()-E502</x:f>
        <x:v>24</x:v>
      </x:c>
      <x:c r="G502" s="7" t="n">
        <x:f>SUMIF($A$5:$A$563,A502,$D$5:$D$563)</x:f>
        <x:v>17788</x:v>
      </x:c>
    </x:row>
    <x:row r="503">
      <x:c r="A503" t="str">
        <x:v>AM Machine Tools Centre</x:v>
      </x:c>
      <x:c r="B503" t="str">
        <x:v>NA/1633/26-27</x:v>
      </x:c>
      <x:c r="C503" s="6" t="n">
        <x:v>46221</x:v>
      </x:c>
      <x:c r="D503" s="7" t="n">
        <x:v>2788</x:v>
      </x:c>
      <x:c r="E503" s="6" t="n">
        <x:v>46221</x:v>
      </x:c>
      <x:c r="F503" t="n">
        <x:f>TODAY()-E503</x:f>
        <x:v>14</x:v>
      </x:c>
      <x:c r="G503" s="7" t="n">
        <x:f>SUMIF($A$5:$A$563,A503,$D$5:$D$563)</x:f>
        <x:v>17788</x:v>
      </x:c>
    </x:row>
    <x:row r="504">
      <x:c r="A504" t="str">
        <x:v>SK SHRI KUMARAN ELECTRICALS LIGHTS AND PLUMBING</x:v>
      </x:c>
      <x:c r="B504" t="str">
        <x:v>NA/1457/26-27</x:v>
      </x:c>
      <x:c r="C504" s="6" t="n">
        <x:v>46212</x:v>
      </x:c>
      <x:c r="D504" s="7" t="n">
        <x:v>19057</x:v>
      </x:c>
      <x:c r="E504" s="6" t="n">
        <x:v>46212</x:v>
      </x:c>
      <x:c r="F504" t="n">
        <x:f>TODAY()-E504</x:f>
        <x:v>23</x:v>
      </x:c>
      <x:c r="G504" s="7" t="n">
        <x:f>SUMIF($A$5:$A$563,A504,$D$5:$D$563)</x:f>
        <x:v>19057</x:v>
      </x:c>
    </x:row>
    <x:row r="505">
      <x:c r="A505" t="str">
        <x:v>Sri Krishna Wire Netting Company</x:v>
      </x:c>
      <x:c r="B505" t="str">
        <x:v>NA/1442/26-27</x:v>
      </x:c>
      <x:c r="C505" s="6" t="n">
        <x:v>46212</x:v>
      </x:c>
      <x:c r="D505" s="7" t="n">
        <x:v>23100</x:v>
      </x:c>
      <x:c r="E505" s="6" t="n">
        <x:v>46212</x:v>
      </x:c>
      <x:c r="F505" t="n">
        <x:f>TODAY()-E505</x:f>
        <x:v>23</x:v>
      </x:c>
      <x:c r="G505" s="7" t="n">
        <x:f>SUMIF($A$5:$A$563,A505,$D$5:$D$563)</x:f>
        <x:v>23100</x:v>
      </x:c>
    </x:row>
    <x:row r="506">
      <x:c r="A506" t="str">
        <x:v>Universal Machinery and Hardware Mart</x:v>
      </x:c>
      <x:c r="B506" t="str">
        <x:v>NA/1463/26-27</x:v>
      </x:c>
      <x:c r="C506" s="6" t="n">
        <x:v>46212</x:v>
      </x:c>
      <x:c r="D506" s="7" t="n">
        <x:v>1448</x:v>
      </x:c>
      <x:c r="E506" s="6" t="n">
        <x:v>46212</x:v>
      </x:c>
      <x:c r="F506" t="n">
        <x:f>TODAY()-E506</x:f>
        <x:v>23</x:v>
      </x:c>
      <x:c r="G506" s="7" t="n">
        <x:f>SUMIF($A$5:$A$563,A506,$D$5:$D$563)</x:f>
        <x:v>1448</x:v>
      </x:c>
    </x:row>
    <x:row r="507">
      <x:c r="A507" t="str">
        <x:v>Arun Rega Bakery Machineries PVT LTD UNIT-II</x:v>
      </x:c>
      <x:c r="B507" t="str">
        <x:v>NA/1478/26-27</x:v>
      </x:c>
      <x:c r="C507" s="6" t="n">
        <x:v>46213</x:v>
      </x:c>
      <x:c r="D507" s="7" t="n">
        <x:v>1238</x:v>
      </x:c>
      <x:c r="E507" s="6" t="n">
        <x:v>46213</x:v>
      </x:c>
      <x:c r="F507" t="n">
        <x:f>TODAY()-E507</x:f>
        <x:v>22</x:v>
      </x:c>
      <x:c r="G507" s="7" t="n">
        <x:f>SUMIF($A$5:$A$563,A507,$D$5:$D$563)</x:f>
        <x:v>1238</x:v>
      </x:c>
    </x:row>
    <x:row r="508">
      <x:c r="A508" t="str">
        <x:v>Union Enterprises</x:v>
      </x:c>
      <x:c r="B508" t="str">
        <x:v>NA/1467/26-27</x:v>
      </x:c>
      <x:c r="C508" s="6" t="n">
        <x:v>46213</x:v>
      </x:c>
      <x:c r="D508" s="7" t="n">
        <x:v>2673</x:v>
      </x:c>
      <x:c r="E508" s="6" t="n">
        <x:v>46213</x:v>
      </x:c>
      <x:c r="F508" t="n">
        <x:f>TODAY()-E508</x:f>
        <x:v>22</x:v>
      </x:c>
      <x:c r="G508" s="7" t="n">
        <x:f>SUMIF($A$5:$A$563,A508,$D$5:$D$563)</x:f>
        <x:v>23173</x:v>
      </x:c>
    </x:row>
    <x:row r="509">
      <x:c r="A509" t="str">
        <x:v>Union Enterprises</x:v>
      </x:c>
      <x:c r="B509" t="str">
        <x:v>NA/1834/26-27</x:v>
      </x:c>
      <x:c r="C509" s="6" t="n">
        <x:v>46232</x:v>
      </x:c>
      <x:c r="D509" s="7" t="n">
        <x:v>20500</x:v>
      </x:c>
      <x:c r="E509" s="6" t="n">
        <x:v>46232</x:v>
      </x:c>
      <x:c r="F509" t="n">
        <x:f>TODAY()-E509</x:f>
        <x:v>3</x:v>
      </x:c>
      <x:c r="G509" s="7" t="n">
        <x:f>SUMIF($A$5:$A$563,A509,$D$5:$D$563)</x:f>
        <x:v>23173</x:v>
      </x:c>
    </x:row>
    <x:row r="510">
      <x:c r="A510" t="str">
        <x:v>Al Anwar Industrial Stores</x:v>
      </x:c>
      <x:c r="B510" t="str">
        <x:v>NA/1505/26-27</x:v>
      </x:c>
      <x:c r="C510" s="6" t="n">
        <x:v>46214</x:v>
      </x:c>
      <x:c r="D510" s="7" t="n">
        <x:v>3250</x:v>
      </x:c>
      <x:c r="E510" s="6" t="n">
        <x:v>46214</x:v>
      </x:c>
      <x:c r="F510" t="n">
        <x:f>TODAY()-E510</x:f>
        <x:v>21</x:v>
      </x:c>
      <x:c r="G510" s="7" t="n">
        <x:f>SUMIF($A$5:$A$563,A510,$D$5:$D$563)</x:f>
        <x:v>26244</x:v>
      </x:c>
    </x:row>
    <x:row r="511">
      <x:c r="A511" t="str">
        <x:v>Al Anwar Industrial Stores</x:v>
      </x:c>
      <x:c r="B511" t="str">
        <x:v>NA/1632/26-27</x:v>
      </x:c>
      <x:c r="C511" s="6" t="n">
        <x:v>46221</x:v>
      </x:c>
      <x:c r="D511" s="7" t="n">
        <x:v>650</x:v>
      </x:c>
      <x:c r="E511" s="6" t="n">
        <x:v>46221</x:v>
      </x:c>
      <x:c r="F511" t="n">
        <x:f>TODAY()-E511</x:f>
        <x:v>14</x:v>
      </x:c>
      <x:c r="G511" s="7" t="n">
        <x:f>SUMIF($A$5:$A$563,A511,$D$5:$D$563)</x:f>
        <x:v>26244</x:v>
      </x:c>
    </x:row>
    <x:row r="512">
      <x:c r="A512" t="str">
        <x:v>Al Anwar Industrial Stores</x:v>
      </x:c>
      <x:c r="B512" t="str">
        <x:v>NA/1761/26-27</x:v>
      </x:c>
      <x:c r="C512" s="6" t="n">
        <x:v>46228</x:v>
      </x:c>
      <x:c r="D512" s="7" t="n">
        <x:v>9450</x:v>
      </x:c>
      <x:c r="E512" s="6" t="n">
        <x:v>46228</x:v>
      </x:c>
      <x:c r="F512" t="n">
        <x:f>TODAY()-E512</x:f>
        <x:v>7</x:v>
      </x:c>
      <x:c r="G512" s="7" t="n">
        <x:f>SUMIF($A$5:$A$563,A512,$D$5:$D$563)</x:f>
        <x:v>26244</x:v>
      </x:c>
    </x:row>
    <x:row r="513">
      <x:c r="A513" t="str">
        <x:v>Al Anwar Industrial Stores</x:v>
      </x:c>
      <x:c r="B513" t="str">
        <x:v>NA/1810/26-27</x:v>
      </x:c>
      <x:c r="C513" s="6" t="n">
        <x:v>46230</x:v>
      </x:c>
      <x:c r="D513" s="7" t="n">
        <x:v>6400</x:v>
      </x:c>
      <x:c r="E513" s="6" t="n">
        <x:v>46230</x:v>
      </x:c>
      <x:c r="F513" t="n">
        <x:f>TODAY()-E513</x:f>
        <x:v>5</x:v>
      </x:c>
      <x:c r="G513" s="7" t="n">
        <x:f>SUMIF($A$5:$A$563,A513,$D$5:$D$563)</x:f>
        <x:v>26244</x:v>
      </x:c>
    </x:row>
    <x:row r="514">
      <x:c r="A514" t="str">
        <x:v>Al Anwar Industrial Stores</x:v>
      </x:c>
      <x:c r="B514" t="str">
        <x:v>NA/1890/26-27</x:v>
      </x:c>
      <x:c r="C514" s="6" t="n">
        <x:v>46235</x:v>
      </x:c>
      <x:c r="D514" s="7" t="n">
        <x:v>6494</x:v>
      </x:c>
      <x:c r="E514" s="6" t="n">
        <x:v>46235</x:v>
      </x:c>
      <x:c r="F514" t="n">
        <x:f>TODAY()-E514</x:f>
        <x:v>0</x:v>
      </x:c>
      <x:c r="G514" s="7" t="n">
        <x:f>SUMIF($A$5:$A$563,A514,$D$5:$D$563)</x:f>
        <x:v>26244</x:v>
      </x:c>
    </x:row>
    <x:row r="515">
      <x:c r="A515" t="str">
        <x:v>IMANI AND CO</x:v>
      </x:c>
      <x:c r="B515" t="str">
        <x:v>NA/1508/26-27</x:v>
      </x:c>
      <x:c r="C515" s="6" t="n">
        <x:v>46214</x:v>
      </x:c>
      <x:c r="D515" s="7" t="n">
        <x:v>178</x:v>
      </x:c>
      <x:c r="E515" s="6" t="n">
        <x:v>46214</x:v>
      </x:c>
      <x:c r="F515" t="n">
        <x:f>TODAY()-E515</x:f>
        <x:v>21</x:v>
      </x:c>
      <x:c r="G515" s="7" t="n">
        <x:f>SUMIF($A$5:$A$563,A515,$D$5:$D$563)</x:f>
        <x:v>178</x:v>
      </x:c>
    </x:row>
    <x:row r="516">
      <x:c r="A516" t="str">
        <x:v>Abbas Marketing</x:v>
      </x:c>
      <x:c r="B516" t="str">
        <x:v>NA/1522/26-27</x:v>
      </x:c>
      <x:c r="C516" s="6" t="n">
        <x:v>46216</x:v>
      </x:c>
      <x:c r="D516" s="7" t="n">
        <x:v>338</x:v>
      </x:c>
      <x:c r="E516" s="6" t="n">
        <x:v>46216</x:v>
      </x:c>
      <x:c r="F516" t="n">
        <x:f>TODAY()-E516</x:f>
        <x:v>19</x:v>
      </x:c>
      <x:c r="G516" s="7" t="n">
        <x:f>SUMIF($A$5:$A$563,A516,$D$5:$D$563)</x:f>
        <x:v>338</x:v>
      </x:c>
    </x:row>
    <x:row r="517">
      <x:c r="A517" t="str">
        <x:v>HINDUSTAN AUTOMATIONS</x:v>
      </x:c>
      <x:c r="B517" t="str">
        <x:v>NA/1526/26-27</x:v>
      </x:c>
      <x:c r="C517" s="6" t="n">
        <x:v>46216</x:v>
      </x:c>
      <x:c r="D517" s="7" t="n">
        <x:v>6344</x:v>
      </x:c>
      <x:c r="E517" s="6" t="n">
        <x:v>46216</x:v>
      </x:c>
      <x:c r="F517" t="n">
        <x:f>TODAY()-E517</x:f>
        <x:v>19</x:v>
      </x:c>
      <x:c r="G517" s="7" t="n">
        <x:f>SUMIF($A$5:$A$563,A517,$D$5:$D$563)</x:f>
        <x:v>22266</x:v>
      </x:c>
    </x:row>
    <x:row r="518">
      <x:c r="A518" t="str">
        <x:v>HINDUSTAN AUTOMATIONS</x:v>
      </x:c>
      <x:c r="B518" t="str">
        <x:v>NA/1693/26-27</x:v>
      </x:c>
      <x:c r="C518" s="6" t="n">
        <x:v>46224</x:v>
      </x:c>
      <x:c r="D518" s="7" t="n">
        <x:v>14270</x:v>
      </x:c>
      <x:c r="E518" s="6" t="n">
        <x:v>46224</x:v>
      </x:c>
      <x:c r="F518" t="n">
        <x:f>TODAY()-E518</x:f>
        <x:v>11</x:v>
      </x:c>
      <x:c r="G518" s="7" t="n">
        <x:f>SUMIF($A$5:$A$563,A518,$D$5:$D$563)</x:f>
        <x:v>22266</x:v>
      </x:c>
    </x:row>
    <x:row r="519">
      <x:c r="A519" t="str">
        <x:v>HINDUSTAN AUTOMATIONS</x:v>
      </x:c>
      <x:c r="B519" t="str">
        <x:v>NA/1875/26-27</x:v>
      </x:c>
      <x:c r="C519" s="6" t="n">
        <x:v>46234</x:v>
      </x:c>
      <x:c r="D519" s="7" t="n">
        <x:v>1652</x:v>
      </x:c>
      <x:c r="E519" s="6" t="n">
        <x:v>46234</x:v>
      </x:c>
      <x:c r="F519" t="n">
        <x:f>TODAY()-E519</x:f>
        <x:v>1</x:v>
      </x:c>
      <x:c r="G519" s="7" t="n">
        <x:f>SUMIF($A$5:$A$563,A519,$D$5:$D$563)</x:f>
        <x:v>22266</x:v>
      </x:c>
    </x:row>
    <x:row r="520">
      <x:c r="A520" t="str">
        <x:v>CARBURE ACTIVATED CARBON PRIVATE LIMITED</x:v>
      </x:c>
      <x:c r="B520" t="str">
        <x:v>NA/1543/26-27</x:v>
      </x:c>
      <x:c r="C520" s="6" t="n">
        <x:v>46217</x:v>
      </x:c>
      <x:c r="D520" s="7" t="n">
        <x:v>899</x:v>
      </x:c>
      <x:c r="E520" s="6" t="n">
        <x:v>46217</x:v>
      </x:c>
      <x:c r="F520" t="n">
        <x:f>TODAY()-E520</x:f>
        <x:v>18</x:v>
      </x:c>
      <x:c r="G520" s="7" t="n">
        <x:f>SUMIF($A$5:$A$563,A520,$D$5:$D$563)</x:f>
        <x:v>899</x:v>
      </x:c>
    </x:row>
    <x:row r="521">
      <x:c r="A521" t="str">
        <x:v>Coptech Wire &amp; Cable Private Limited W</x:v>
      </x:c>
      <x:c r="B521" t="str">
        <x:v>NA/1531/26-27</x:v>
      </x:c>
      <x:c r="C521" s="6" t="n">
        <x:v>46217</x:v>
      </x:c>
      <x:c r="D521" s="7" t="n">
        <x:v>8174</x:v>
      </x:c>
      <x:c r="E521" s="6" t="n">
        <x:v>46217</x:v>
      </x:c>
      <x:c r="F521" t="n">
        <x:f>TODAY()-E521</x:f>
        <x:v>18</x:v>
      </x:c>
      <x:c r="G521" s="7" t="n">
        <x:f>SUMIF($A$5:$A$563,A521,$D$5:$D$563)</x:f>
        <x:v>8298</x:v>
      </x:c>
    </x:row>
    <x:row r="522">
      <x:c r="A522" t="str">
        <x:v>Coptech Wire &amp; Cable Private Limited W</x:v>
      </x:c>
      <x:c r="B522" t="str">
        <x:v>NA/1747/26-27</x:v>
      </x:c>
      <x:c r="C522" s="6" t="n">
        <x:v>46227</x:v>
      </x:c>
      <x:c r="D522" s="7" t="n">
        <x:v>124</x:v>
      </x:c>
      <x:c r="E522" s="6" t="n">
        <x:v>46227</x:v>
      </x:c>
      <x:c r="F522" t="n">
        <x:f>TODAY()-E522</x:f>
        <x:v>8</x:v>
      </x:c>
      <x:c r="G522" s="7" t="n">
        <x:f>SUMIF($A$5:$A$563,A522,$D$5:$D$563)</x:f>
        <x:v>8298</x:v>
      </x:c>
    </x:row>
    <x:row r="523">
      <x:c r="A523" t="str">
        <x:v>Y M Tools Traders</x:v>
      </x:c>
      <x:c r="B523" t="str">
        <x:v>NA/1540/26-27</x:v>
      </x:c>
      <x:c r="C523" s="6" t="n">
        <x:v>46217</x:v>
      </x:c>
      <x:c r="D523" s="7" t="n">
        <x:v>13230</x:v>
      </x:c>
      <x:c r="E523" s="6" t="n">
        <x:v>46217</x:v>
      </x:c>
      <x:c r="F523" t="n">
        <x:f>TODAY()-E523</x:f>
        <x:v>18</x:v>
      </x:c>
      <x:c r="G523" s="7" t="n">
        <x:f>SUMIF($A$5:$A$563,A523,$D$5:$D$563)</x:f>
        <x:v>13872</x:v>
      </x:c>
    </x:row>
    <x:row r="524">
      <x:c r="A524" t="str">
        <x:v>Y M Tools Traders</x:v>
      </x:c>
      <x:c r="B524" t="str">
        <x:v>NA/1892/26-27</x:v>
      </x:c>
      <x:c r="C524" s="6" t="n">
        <x:v>46235</x:v>
      </x:c>
      <x:c r="D524" s="7" t="n">
        <x:v>642</x:v>
      </x:c>
      <x:c r="E524" s="6" t="n">
        <x:v>46235</x:v>
      </x:c>
      <x:c r="F524" t="n">
        <x:f>TODAY()-E524</x:f>
        <x:v>0</x:v>
      </x:c>
      <x:c r="G524" s="7" t="n">
        <x:f>SUMIF($A$5:$A$563,A524,$D$5:$D$563)</x:f>
        <x:v>13872</x:v>
      </x:c>
    </x:row>
    <x:row r="525">
      <x:c r="A525" t="str">
        <x:v>Al Massaar Trading Company</x:v>
      </x:c>
      <x:c r="B525" t="str">
        <x:v>NA/1577/26-27</x:v>
      </x:c>
      <x:c r="C525" s="6" t="n">
        <x:v>46218</x:v>
      </x:c>
      <x:c r="D525" s="7" t="n">
        <x:v>1770</x:v>
      </x:c>
      <x:c r="E525" s="6" t="n">
        <x:v>46218</x:v>
      </x:c>
      <x:c r="F525" t="n">
        <x:f>TODAY()-E525</x:f>
        <x:v>17</x:v>
      </x:c>
      <x:c r="G525" s="7" t="n">
        <x:f>SUMIF($A$5:$A$563,A525,$D$5:$D$563)</x:f>
        <x:v>1770</x:v>
      </x:c>
    </x:row>
    <x:row r="526">
      <x:c r="A526" t="str">
        <x:v>Destrezzza art house Pvt Ltd</x:v>
      </x:c>
      <x:c r="B526" t="str">
        <x:v>NA/1600/26-27</x:v>
      </x:c>
      <x:c r="C526" s="6" t="n">
        <x:v>46219</x:v>
      </x:c>
      <x:c r="D526" s="7" t="n">
        <x:v>55394</x:v>
      </x:c>
      <x:c r="E526" s="6" t="n">
        <x:v>46219</x:v>
      </x:c>
      <x:c r="F526" t="n">
        <x:f>TODAY()-E526</x:f>
        <x:v>16</x:v>
      </x:c>
      <x:c r="G526" s="7" t="n">
        <x:f>SUMIF($A$5:$A$563,A526,$D$5:$D$563)</x:f>
        <x:v>55394</x:v>
      </x:c>
    </x:row>
    <x:row r="527">
      <x:c r="A527" t="str">
        <x:v>IMEC DZIGN ENTERPRISE PRIVATE LIMITED</x:v>
      </x:c>
      <x:c r="B527" t="str">
        <x:v>NA/1593/26-27</x:v>
      </x:c>
      <x:c r="C527" s="6" t="n">
        <x:v>46219</x:v>
      </x:c>
      <x:c r="D527" s="7" t="n">
        <x:v>23364</x:v>
      </x:c>
      <x:c r="E527" s="6" t="n">
        <x:v>46219</x:v>
      </x:c>
      <x:c r="F527" t="n">
        <x:f>TODAY()-E527</x:f>
        <x:v>16</x:v>
      </x:c>
      <x:c r="G527" s="7" t="n">
        <x:f>SUMIF($A$5:$A$563,A527,$D$5:$D$563)</x:f>
        <x:v>28320</x:v>
      </x:c>
    </x:row>
    <x:row r="528">
      <x:c r="A528" t="str">
        <x:v>IMEC DZIGN ENTERPRISE PRIVATE LIMITED</x:v>
      </x:c>
      <x:c r="B528" t="str">
        <x:v>NA/1666/26-27</x:v>
      </x:c>
      <x:c r="C528" s="6" t="n">
        <x:v>46223</x:v>
      </x:c>
      <x:c r="D528" s="7" t="n">
        <x:v>4956</x:v>
      </x:c>
      <x:c r="E528" s="6" t="n">
        <x:v>46223</x:v>
      </x:c>
      <x:c r="F528" t="n">
        <x:f>TODAY()-E528</x:f>
        <x:v>12</x:v>
      </x:c>
      <x:c r="G528" s="7" t="n">
        <x:f>SUMIF($A$5:$A$563,A528,$D$5:$D$563)</x:f>
        <x:v>28320</x:v>
      </x:c>
    </x:row>
    <x:row r="529">
      <x:c r="A529" t="str">
        <x:v>Orient Enterprises</x:v>
      </x:c>
      <x:c r="B529" t="str">
        <x:v>NA/1606/26-27</x:v>
      </x:c>
      <x:c r="C529" s="6" t="n">
        <x:v>46220</x:v>
      </x:c>
      <x:c r="D529" s="7" t="n">
        <x:v>1760</x:v>
      </x:c>
      <x:c r="E529" s="6" t="n">
        <x:v>46220</x:v>
      </x:c>
      <x:c r="F529" t="n">
        <x:f>TODAY()-E529</x:f>
        <x:v>15</x:v>
      </x:c>
      <x:c r="G529" s="7" t="n">
        <x:f>SUMIF($A$5:$A$563,A529,$D$5:$D$563)</x:f>
        <x:v>1760</x:v>
      </x:c>
    </x:row>
    <x:row r="530">
      <x:c r="A530" t="str">
        <x:v>PSG COLLEGE OF ARTS AND SCIENCE</x:v>
      </x:c>
      <x:c r="B530" t="str">
        <x:v>NA/1611/26-27</x:v>
      </x:c>
      <x:c r="C530" s="6" t="n">
        <x:v>46220</x:v>
      </x:c>
      <x:c r="D530" s="7" t="n">
        <x:v>2250</x:v>
      </x:c>
      <x:c r="E530" s="6" t="n">
        <x:v>46220</x:v>
      </x:c>
      <x:c r="F530" t="n">
        <x:f>TODAY()-E530</x:f>
        <x:v>15</x:v>
      </x:c>
      <x:c r="G530" s="7" t="n">
        <x:f>SUMIF($A$5:$A$563,A530,$D$5:$D$563)</x:f>
        <x:v>2250</x:v>
      </x:c>
    </x:row>
    <x:row r="531">
      <x:c r="A531" t="str">
        <x:v>PSG INSTITUTE OF MANAGEMENT-GENERAL</x:v>
      </x:c>
      <x:c r="B531" t="str">
        <x:v>NA/1610/26-27</x:v>
      </x:c>
      <x:c r="C531" s="6" t="n">
        <x:v>46220</x:v>
      </x:c>
      <x:c r="D531" s="7" t="n">
        <x:v>2545</x:v>
      </x:c>
      <x:c r="E531" s="6" t="n">
        <x:v>46220</x:v>
      </x:c>
      <x:c r="F531" t="n">
        <x:f>TODAY()-E531</x:f>
        <x:v>15</x:v>
      </x:c>
      <x:c r="G531" s="7" t="n">
        <x:f>SUMIF($A$5:$A$563,A531,$D$5:$D$563)</x:f>
        <x:v>2545</x:v>
      </x:c>
    </x:row>
    <x:row r="532">
      <x:c r="A532" t="str">
        <x:v>GEM TRADING CORPORATION</x:v>
      </x:c>
      <x:c r="B532" t="str">
        <x:v>NA/1650/26-27</x:v>
      </x:c>
      <x:c r="C532" s="6" t="n">
        <x:v>46221</x:v>
      </x:c>
      <x:c r="D532" s="7" t="n">
        <x:v>360</x:v>
      </x:c>
      <x:c r="E532" s="6" t="n">
        <x:v>46221</x:v>
      </x:c>
      <x:c r="F532" t="n">
        <x:f>TODAY()-E532</x:f>
        <x:v>14</x:v>
      </x:c>
      <x:c r="G532" s="7" t="n">
        <x:f>SUMIF($A$5:$A$563,A532,$D$5:$D$563)</x:f>
        <x:v>360</x:v>
      </x:c>
    </x:row>
    <x:row r="533">
      <x:c r="A533" t="str">
        <x:v>Rajkumar &amp; Co</x:v>
      </x:c>
      <x:c r="B533" t="str">
        <x:v>NA/1629/26-27</x:v>
      </x:c>
      <x:c r="C533" s="6" t="n">
        <x:v>46221</x:v>
      </x:c>
      <x:c r="D533" s="7" t="n">
        <x:v>3300</x:v>
      </x:c>
      <x:c r="E533" s="6" t="n">
        <x:v>46221</x:v>
      </x:c>
      <x:c r="F533" t="n">
        <x:f>TODAY()-E533</x:f>
        <x:v>14</x:v>
      </x:c>
      <x:c r="G533" s="7" t="n">
        <x:f>SUMIF($A$5:$A$563,A533,$D$5:$D$563)</x:f>
        <x:v>3300</x:v>
      </x:c>
    </x:row>
    <x:row r="534">
      <x:c r="A534" t="str">
        <x:v>Apex Coco and Solar Energy PVT LTD</x:v>
      </x:c>
      <x:c r="B534" t="str">
        <x:v>NA/1674/26-27</x:v>
      </x:c>
      <x:c r="C534" s="6" t="n">
        <x:v>46223</x:v>
      </x:c>
      <x:c r="D534" s="7" t="n">
        <x:v>5100</x:v>
      </x:c>
      <x:c r="E534" s="6" t="n">
        <x:v>46223</x:v>
      </x:c>
      <x:c r="F534" t="n">
        <x:f>TODAY()-E534</x:f>
        <x:v>12</x:v>
      </x:c>
      <x:c r="G534" s="7" t="n">
        <x:f>SUMIF($A$5:$A$563,A534,$D$5:$D$563)</x:f>
        <x:v>51533</x:v>
      </x:c>
    </x:row>
    <x:row r="535">
      <x:c r="A535" t="str">
        <x:v>Apex Coco and Solar Energy PVT LTD</x:v>
      </x:c>
      <x:c r="B535" t="str">
        <x:v>NA/1683/26-27</x:v>
      </x:c>
      <x:c r="C535" s="6" t="n">
        <x:v>46224</x:v>
      </x:c>
      <x:c r="D535" s="7" t="n">
        <x:v>8496</x:v>
      </x:c>
      <x:c r="E535" s="6" t="n">
        <x:v>46224</x:v>
      </x:c>
      <x:c r="F535" t="n">
        <x:f>TODAY()-E535</x:f>
        <x:v>11</x:v>
      </x:c>
      <x:c r="G535" s="7" t="n">
        <x:f>SUMIF($A$5:$A$563,A535,$D$5:$D$563)</x:f>
        <x:v>51533</x:v>
      </x:c>
    </x:row>
    <x:row r="536">
      <x:c r="A536" t="str">
        <x:v>Apex Coco and Solar Energy PVT LTD</x:v>
      </x:c>
      <x:c r="B536" t="str">
        <x:v>NA/1756/26-27</x:v>
      </x:c>
      <x:c r="C536" s="6" t="n">
        <x:v>46227</x:v>
      </x:c>
      <x:c r="D536" s="7" t="n">
        <x:v>37937</x:v>
      </x:c>
      <x:c r="E536" s="6" t="n">
        <x:v>46227</x:v>
      </x:c>
      <x:c r="F536" t="n">
        <x:f>TODAY()-E536</x:f>
        <x:v>8</x:v>
      </x:c>
      <x:c r="G536" s="7" t="n">
        <x:f>SUMIF($A$5:$A$563,A536,$D$5:$D$563)</x:f>
        <x:v>51533</x:v>
      </x:c>
    </x:row>
    <x:row r="537">
      <x:c r="A537" t="str">
        <x:v>Arun Laser Ovens PVT LTD</x:v>
      </x:c>
      <x:c r="B537" t="str">
        <x:v>NA/1665/26-27</x:v>
      </x:c>
      <x:c r="C537" s="6" t="n">
        <x:v>46223</x:v>
      </x:c>
      <x:c r="D537" s="7" t="n">
        <x:v>354</x:v>
      </x:c>
      <x:c r="E537" s="6" t="n">
        <x:v>46223</x:v>
      </x:c>
      <x:c r="F537" t="n">
        <x:f>TODAY()-E537</x:f>
        <x:v>12</x:v>
      </x:c>
      <x:c r="G537" s="7" t="n">
        <x:f>SUMIF($A$5:$A$563,A537,$D$5:$D$563)</x:f>
        <x:v>706</x:v>
      </x:c>
    </x:row>
    <x:row r="538">
      <x:c r="A538" t="str">
        <x:v>Arun Laser Ovens PVT LTD</x:v>
      </x:c>
      <x:c r="B538" t="str">
        <x:v>NA/1728/26-27</x:v>
      </x:c>
      <x:c r="C538" s="6" t="n">
        <x:v>46226</x:v>
      </x:c>
      <x:c r="D538" s="7" t="n">
        <x:v>116</x:v>
      </x:c>
      <x:c r="E538" s="6" t="n">
        <x:v>46226</x:v>
      </x:c>
      <x:c r="F538" t="n">
        <x:f>TODAY()-E538</x:f>
        <x:v>9</x:v>
      </x:c>
      <x:c r="G538" s="7" t="n">
        <x:f>SUMIF($A$5:$A$563,A538,$D$5:$D$563)</x:f>
        <x:v>706</x:v>
      </x:c>
    </x:row>
    <x:row r="539">
      <x:c r="A539" t="str">
        <x:v>Arun Laser Ovens PVT LTD</x:v>
      </x:c>
      <x:c r="B539" t="str">
        <x:v>NA/1748/26-27</x:v>
      </x:c>
      <x:c r="C539" s="6" t="n">
        <x:v>46227</x:v>
      </x:c>
      <x:c r="D539" s="7" t="n">
        <x:v>236</x:v>
      </x:c>
      <x:c r="E539" s="6" t="n">
        <x:v>46227</x:v>
      </x:c>
      <x:c r="F539" t="n">
        <x:f>TODAY()-E539</x:f>
        <x:v>8</x:v>
      </x:c>
      <x:c r="G539" s="7" t="n">
        <x:f>SUMIF($A$5:$A$563,A539,$D$5:$D$563)</x:f>
        <x:v>706</x:v>
      </x:c>
    </x:row>
    <x:row r="540">
      <x:c r="A540" t="str">
        <x:v>TAHERI TOOLS AND MACHINERY STORES</x:v>
      </x:c>
      <x:c r="B540" t="str">
        <x:v>NA/1678/26-27</x:v>
      </x:c>
      <x:c r="C540" s="6" t="n">
        <x:v>46223</x:v>
      </x:c>
      <x:c r="D540" s="7" t="n">
        <x:v>4650</x:v>
      </x:c>
      <x:c r="E540" s="6" t="n">
        <x:v>46223</x:v>
      </x:c>
      <x:c r="F540" t="n">
        <x:f>TODAY()-E540</x:f>
        <x:v>12</x:v>
      </x:c>
      <x:c r="G540" s="7" t="n">
        <x:f>SUMIF($A$5:$A$563,A540,$D$5:$D$563)</x:f>
        <x:v>4650</x:v>
      </x:c>
    </x:row>
    <x:row r="541">
      <x:c r="A541" t="str">
        <x:v>PRITAM SAI ASSOCIATE</x:v>
      </x:c>
      <x:c r="B541" t="str">
        <x:v>NA/1754/26-27</x:v>
      </x:c>
      <x:c r="C541" s="6" t="n">
        <x:v>46227</x:v>
      </x:c>
      <x:c r="D541" s="7" t="n">
        <x:v>16988</x:v>
      </x:c>
      <x:c r="E541" s="6" t="n">
        <x:v>46227</x:v>
      </x:c>
      <x:c r="F541" t="n">
        <x:f>TODAY()-E541</x:f>
        <x:v>8</x:v>
      </x:c>
      <x:c r="G541" s="7" t="n">
        <x:f>SUMIF($A$5:$A$563,A541,$D$5:$D$563)</x:f>
        <x:v>16988</x:v>
      </x:c>
    </x:row>
    <x:row r="542">
      <x:c r="A542" t="str">
        <x:v>AA Traders</x:v>
      </x:c>
      <x:c r="B542" t="str">
        <x:v>NA/1777/26-27</x:v>
      </x:c>
      <x:c r="C542" s="6" t="n">
        <x:v>46228</x:v>
      </x:c>
      <x:c r="D542" s="7" t="n">
        <x:v>37418</x:v>
      </x:c>
      <x:c r="E542" s="6" t="n">
        <x:v>46228</x:v>
      </x:c>
      <x:c r="F542" t="n">
        <x:f>TODAY()-E542</x:f>
        <x:v>7</x:v>
      </x:c>
      <x:c r="G542" s="7" t="n">
        <x:f>SUMIF($A$5:$A$563,A542,$D$5:$D$563)</x:f>
        <x:v>195809</x:v>
      </x:c>
    </x:row>
    <x:row r="543">
      <x:c r="A543" t="str">
        <x:v>AA Traders</x:v>
      </x:c>
      <x:c r="B543" t="str">
        <x:v>NA/1796/26-27</x:v>
      </x:c>
      <x:c r="C543" s="6" t="n">
        <x:v>46230</x:v>
      </x:c>
      <x:c r="D543" s="7" t="n">
        <x:v>18231</x:v>
      </x:c>
      <x:c r="E543" s="6" t="n">
        <x:v>46230</x:v>
      </x:c>
      <x:c r="F543" t="n">
        <x:f>TODAY()-E543</x:f>
        <x:v>5</x:v>
      </x:c>
      <x:c r="G543" s="7" t="n">
        <x:f>SUMIF($A$5:$A$563,A543,$D$5:$D$563)</x:f>
        <x:v>195809</x:v>
      </x:c>
    </x:row>
    <x:row r="544">
      <x:c r="A544" t="str">
        <x:v>AA Traders</x:v>
      </x:c>
      <x:c r="B544" t="str">
        <x:v>NA/1802/26-27</x:v>
      </x:c>
      <x:c r="C544" s="6" t="n">
        <x:v>46230</x:v>
      </x:c>
      <x:c r="D544" s="7" t="n">
        <x:v>6955</x:v>
      </x:c>
      <x:c r="E544" s="6" t="n">
        <x:v>46230</x:v>
      </x:c>
      <x:c r="F544" t="n">
        <x:f>TODAY()-E544</x:f>
        <x:v>5</x:v>
      </x:c>
      <x:c r="G544" s="7" t="n">
        <x:f>SUMIF($A$5:$A$563,A544,$D$5:$D$563)</x:f>
        <x:v>195809</x:v>
      </x:c>
    </x:row>
    <x:row r="545">
      <x:c r="A545" t="str">
        <x:v>AA Traders</x:v>
      </x:c>
      <x:c r="B545" t="str">
        <x:v>NA/1815/26-27</x:v>
      </x:c>
      <x:c r="C545" s="6" t="n">
        <x:v>46230</x:v>
      </x:c>
      <x:c r="D545" s="7" t="n">
        <x:v>24365</x:v>
      </x:c>
      <x:c r="E545" s="6" t="n">
        <x:v>46230</x:v>
      </x:c>
      <x:c r="F545" t="n">
        <x:f>TODAY()-E545</x:f>
        <x:v>5</x:v>
      </x:c>
      <x:c r="G545" s="7" t="n">
        <x:f>SUMIF($A$5:$A$563,A545,$D$5:$D$563)</x:f>
        <x:v>195809</x:v>
      </x:c>
    </x:row>
    <x:row r="546">
      <x:c r="A546" t="str">
        <x:v>AA Traders</x:v>
      </x:c>
      <x:c r="B546" t="str">
        <x:v>NA/1846/26-27</x:v>
      </x:c>
      <x:c r="C546" s="6" t="n">
        <x:v>46232</x:v>
      </x:c>
      <x:c r="D546" s="7" t="n">
        <x:v>38040</x:v>
      </x:c>
      <x:c r="E546" s="6" t="n">
        <x:v>46232</x:v>
      </x:c>
      <x:c r="F546" t="n">
        <x:f>TODAY()-E546</x:f>
        <x:v>3</x:v>
      </x:c>
      <x:c r="G546" s="7" t="n">
        <x:f>SUMIF($A$5:$A$563,A546,$D$5:$D$563)</x:f>
        <x:v>195809</x:v>
      </x:c>
    </x:row>
    <x:row r="547">
      <x:c r="A547" t="str">
        <x:v>AA Traders</x:v>
      </x:c>
      <x:c r="B547" t="str">
        <x:v>NA/1866/26-27</x:v>
      </x:c>
      <x:c r="C547" s="6" t="n">
        <x:v>46234</x:v>
      </x:c>
      <x:c r="D547" s="7" t="n">
        <x:v>70800</x:v>
      </x:c>
      <x:c r="E547" s="6" t="n">
        <x:v>46234</x:v>
      </x:c>
      <x:c r="F547" t="n">
        <x:f>TODAY()-E547</x:f>
        <x:v>1</x:v>
      </x:c>
      <x:c r="G547" s="7" t="n">
        <x:f>SUMIF($A$5:$A$563,A547,$D$5:$D$563)</x:f>
        <x:v>195809</x:v>
      </x:c>
    </x:row>
    <x:row r="548">
      <x:c r="A548" t="str">
        <x:v>Black Thunder Theme Park P Ltd</x:v>
      </x:c>
      <x:c r="B548" t="str">
        <x:v>NA/1820/26-27</x:v>
      </x:c>
      <x:c r="C548" s="6" t="n">
        <x:v>46231</x:v>
      </x:c>
      <x:c r="D548" s="7" t="n">
        <x:v>1711</x:v>
      </x:c>
      <x:c r="E548" s="6" t="n">
        <x:v>46231</x:v>
      </x:c>
      <x:c r="F548" t="n">
        <x:f>TODAY()-E548</x:f>
        <x:v>4</x:v>
      </x:c>
      <x:c r="G548" s="7" t="n">
        <x:f>SUMIF($A$5:$A$563,A548,$D$5:$D$563)</x:f>
        <x:v>1711</x:v>
      </x:c>
    </x:row>
    <x:row r="549">
      <x:c r="A549" t="str">
        <x:v>M K Hardware</x:v>
      </x:c>
      <x:c r="B549" t="str">
        <x:v>NA/1818/26-27</x:v>
      </x:c>
      <x:c r="C549" s="6" t="n">
        <x:v>46231</x:v>
      </x:c>
      <x:c r="D549" s="7" t="n">
        <x:v>880</x:v>
      </x:c>
      <x:c r="E549" s="6" t="n">
        <x:v>46231</x:v>
      </x:c>
      <x:c r="F549" t="n">
        <x:f>TODAY()-E549</x:f>
        <x:v>4</x:v>
      </x:c>
      <x:c r="G549" s="7" t="n">
        <x:f>SUMIF($A$5:$A$563,A549,$D$5:$D$563)</x:f>
        <x:v>880</x:v>
      </x:c>
    </x:row>
    <x:row r="550">
      <x:c r="A550" t="str">
        <x:v>S.A. Traders</x:v>
      </x:c>
      <x:c r="B550" t="str">
        <x:v>NA/1831/26-27</x:v>
      </x:c>
      <x:c r="C550" s="6" t="n">
        <x:v>46231</x:v>
      </x:c>
      <x:c r="D550" s="7" t="n">
        <x:v>3793</x:v>
      </x:c>
      <x:c r="E550" s="6" t="n">
        <x:v>46231</x:v>
      </x:c>
      <x:c r="F550" t="n">
        <x:f>TODAY()-E550</x:f>
        <x:v>4</x:v>
      </x:c>
      <x:c r="G550" s="7" t="n">
        <x:f>SUMIF($A$5:$A$563,A550,$D$5:$D$563)</x:f>
        <x:v>3793</x:v>
      </x:c>
    </x:row>
    <x:row r="551">
      <x:c r="A551" t="str">
        <x:v>NAAMAKKAL CONSTRUCTIONS</x:v>
      </x:c>
      <x:c r="B551" t="str">
        <x:v>NA/1839/26-27</x:v>
      </x:c>
      <x:c r="C551" s="6" t="n">
        <x:v>46232</x:v>
      </x:c>
      <x:c r="D551" s="7" t="n">
        <x:v>3900</x:v>
      </x:c>
      <x:c r="E551" s="6" t="n">
        <x:v>46232</x:v>
      </x:c>
      <x:c r="F551" t="n">
        <x:f>TODAY()-E551</x:f>
        <x:v>3</x:v>
      </x:c>
      <x:c r="G551" s="7" t="n">
        <x:f>SUMIF($A$5:$A$563,A551,$D$5:$D$563)</x:f>
        <x:v>3900</x:v>
      </x:c>
    </x:row>
    <x:row r="552">
      <x:c r="A552" t="str">
        <x:v>VME PRECAST PRODUCTS</x:v>
      </x:c>
      <x:c r="B552" t="str">
        <x:v>NA/1847/26-27</x:v>
      </x:c>
      <x:c r="C552" s="6" t="n">
        <x:v>46232</x:v>
      </x:c>
      <x:c r="D552" s="7" t="n">
        <x:v>154601</x:v>
      </x:c>
      <x:c r="E552" s="6" t="n">
        <x:v>46232</x:v>
      </x:c>
      <x:c r="F552" t="n">
        <x:f>TODAY()-E552</x:f>
        <x:v>3</x:v>
      </x:c>
      <x:c r="G552" s="7" t="n">
        <x:f>SUMIF($A$5:$A$563,A552,$D$5:$D$563)</x:f>
        <x:v>208518</x:v>
      </x:c>
    </x:row>
    <x:row r="553">
      <x:c r="A553" t="str">
        <x:v>VME PRECAST PRODUCTS</x:v>
      </x:c>
      <x:c r="B553" t="str">
        <x:v>NA/1854/26-27</x:v>
      </x:c>
      <x:c r="C553" s="6" t="n">
        <x:v>46233</x:v>
      </x:c>
      <x:c r="D553" s="7" t="n">
        <x:v>53917</x:v>
      </x:c>
      <x:c r="E553" s="6" t="n">
        <x:v>46233</x:v>
      </x:c>
      <x:c r="F553" t="n">
        <x:f>TODAY()-E553</x:f>
        <x:v>2</x:v>
      </x:c>
      <x:c r="G553" s="7" t="n">
        <x:f>SUMIF($A$5:$A$563,A553,$D$5:$D$563)</x:f>
        <x:v>208518</x:v>
      </x:c>
    </x:row>
    <x:row r="554">
      <x:c r="A554" t="str">
        <x:v>Aj Body Shop Solutions</x:v>
      </x:c>
      <x:c r="B554" t="str">
        <x:v>NA/1901/26-27</x:v>
      </x:c>
      <x:c r="C554" s="6" t="n">
        <x:v>46235</x:v>
      </x:c>
      <x:c r="D554" s="7" t="n">
        <x:v>2592</x:v>
      </x:c>
      <x:c r="E554" s="6" t="n">
        <x:v>46235</x:v>
      </x:c>
      <x:c r="F554" t="n">
        <x:f>TODAY()-E554</x:f>
        <x:v>0</x:v>
      </x:c>
      <x:c r="G554" s="7" t="n">
        <x:f>SUMIF($A$5:$A$563,A554,$D$5:$D$563)</x:f>
        <x:v>2592</x:v>
      </x:c>
    </x:row>
    <x:row r="555">
      <x:c r="A555" t="str">
        <x:v>Deivanai Traders</x:v>
      </x:c>
      <x:c r="B555" t="str">
        <x:v>NA/1891/26-27</x:v>
      </x:c>
      <x:c r="C555" s="6" t="n">
        <x:v>46235</x:v>
      </x:c>
      <x:c r="D555" s="7" t="n">
        <x:v>1175</x:v>
      </x:c>
      <x:c r="E555" s="6" t="n">
        <x:v>46235</x:v>
      </x:c>
      <x:c r="F555" t="n">
        <x:f>TODAY()-E555</x:f>
        <x:v>0</x:v>
      </x:c>
      <x:c r="G555" s="7" t="n">
        <x:f>SUMIF($A$5:$A$563,A555,$D$5:$D$563)</x:f>
        <x:v>1175</x:v>
      </x:c>
    </x:row>
    <x:row r="556">
      <x:c r="A556" t="str">
        <x:v>Fabtex Engineering Works</x:v>
      </x:c>
      <x:c r="B556" t="str">
        <x:v>NA/1880/26-27</x:v>
      </x:c>
      <x:c r="C556" s="6" t="n">
        <x:v>46235</x:v>
      </x:c>
      <x:c r="D556" s="7" t="n">
        <x:v>764</x:v>
      </x:c>
      <x:c r="E556" s="6" t="n">
        <x:v>46235</x:v>
      </x:c>
      <x:c r="F556" t="n">
        <x:f>TODAY()-E556</x:f>
        <x:v>0</x:v>
      </x:c>
      <x:c r="G556" s="7" t="n">
        <x:f>SUMIF($A$5:$A$563,A556,$D$5:$D$563)</x:f>
        <x:v>764</x:v>
      </x:c>
    </x:row>
    <x:row r="557">
      <x:c r="A557" t="str">
        <x:v>HARIBHAVANAM RESTAURANTS INDIA PRIVATE LIMITED</x:v>
      </x:c>
      <x:c r="B557" t="str">
        <x:v>NA/1881/26-27</x:v>
      </x:c>
      <x:c r="C557" s="6" t="n">
        <x:v>46235</x:v>
      </x:c>
      <x:c r="D557" s="7" t="n">
        <x:v>1900</x:v>
      </x:c>
      <x:c r="E557" s="6" t="n">
        <x:v>46235</x:v>
      </x:c>
      <x:c r="F557" t="n">
        <x:f>TODAY()-E557</x:f>
        <x:v>0</x:v>
      </x:c>
      <x:c r="G557" s="7" t="n">
        <x:f>SUMIF($A$5:$A$563,A557,$D$5:$D$563)</x:f>
        <x:v>1900</x:v>
      </x:c>
    </x:row>
    <x:row r="558">
      <x:c r="A558" t="str">
        <x:v>JS ENTERPRISES L1Z7</x:v>
      </x:c>
      <x:c r="B558" t="str">
        <x:v>NA/1878/26-27</x:v>
      </x:c>
      <x:c r="C558" s="6" t="n">
        <x:v>46235</x:v>
      </x:c>
      <x:c r="D558" s="7" t="n">
        <x:v>1770</x:v>
      </x:c>
      <x:c r="E558" s="6" t="n">
        <x:v>46235</x:v>
      </x:c>
      <x:c r="F558" t="n">
        <x:f>TODAY()-E558</x:f>
        <x:v>0</x:v>
      </x:c>
      <x:c r="G558" s="7" t="n">
        <x:f>SUMIF($A$5:$A$563,A558,$D$5:$D$563)</x:f>
        <x:v>1770</x:v>
      </x:c>
    </x:row>
    <x:row r="559">
      <x:c r="A559" t="str">
        <x:v>KRP ENGINEERING WORKS</x:v>
      </x:c>
      <x:c r="B559" t="str">
        <x:v>NA/1879/26-27</x:v>
      </x:c>
      <x:c r="C559" s="6" t="n">
        <x:v>46235</x:v>
      </x:c>
      <x:c r="D559" s="7" t="n">
        <x:v>3500</x:v>
      </x:c>
      <x:c r="E559" s="6" t="n">
        <x:v>46235</x:v>
      </x:c>
      <x:c r="F559" t="n">
        <x:f>TODAY()-E559</x:f>
        <x:v>0</x:v>
      </x:c>
      <x:c r="G559" s="7" t="n">
        <x:f>SUMIF($A$5:$A$563,A559,$D$5:$D$563)</x:f>
        <x:v>3500</x:v>
      </x:c>
    </x:row>
    <x:row r="560">
      <x:c r="A560" t="str">
        <x:v>NANDA FEEDS PRIVATE LIMITED</x:v>
      </x:c>
      <x:c r="B560" t="str">
        <x:v>NA/1882/26-27</x:v>
      </x:c>
      <x:c r="C560" s="6" t="n">
        <x:v>46235</x:v>
      </x:c>
      <x:c r="D560" s="7" t="n">
        <x:v>1168</x:v>
      </x:c>
      <x:c r="E560" s="6" t="n">
        <x:v>46235</x:v>
      </x:c>
      <x:c r="F560" t="n">
        <x:f>TODAY()-E560</x:f>
        <x:v>0</x:v>
      </x:c>
      <x:c r="G560" s="7" t="n">
        <x:f>SUMIF($A$5:$A$563,A560,$D$5:$D$563)</x:f>
        <x:v>1168</x:v>
      </x:c>
    </x:row>
    <x:row r="561">
      <x:c r="A561" t="str">
        <x:v>ROYAL TOOLS CORPORATION</x:v>
      </x:c>
      <x:c r="B561" t="str">
        <x:v>NA/1899/26-27</x:v>
      </x:c>
      <x:c r="C561" s="6" t="n">
        <x:v>46235</x:v>
      </x:c>
      <x:c r="D561" s="7" t="n">
        <x:v>5886</x:v>
      </x:c>
      <x:c r="E561" s="6" t="n">
        <x:v>46235</x:v>
      </x:c>
      <x:c r="F561" t="n">
        <x:f>TODAY()-E561</x:f>
        <x:v>0</x:v>
      </x:c>
      <x:c r="G561" s="7" t="n">
        <x:f>SUMIF($A$5:$A$563,A561,$D$5:$D$563)</x:f>
        <x:v>5886</x:v>
      </x:c>
    </x:row>
    <x:row r="562">
      <x:c r="A562" t="str">
        <x:v>SHAJI'S ENGINEERING INDUSTRIES</x:v>
      </x:c>
      <x:c r="B562" t="str">
        <x:v>NA/1898/26-27</x:v>
      </x:c>
      <x:c r="C562" s="6" t="n">
        <x:v>46235</x:v>
      </x:c>
      <x:c r="D562" s="7" t="n">
        <x:v>7775</x:v>
      </x:c>
      <x:c r="E562" s="6" t="n">
        <x:v>46235</x:v>
      </x:c>
      <x:c r="F562" t="n">
        <x:f>TODAY()-E562</x:f>
        <x:v>0</x:v>
      </x:c>
      <x:c r="G562" s="7" t="n">
        <x:f>SUMIF($A$5:$A$563,A562,$D$5:$D$563)</x:f>
        <x:v>7775</x:v>
      </x:c>
    </x:row>
    <x:row r="563">
      <x:c r="A563" t="str">
        <x:v>SUN FORGINGS</x:v>
      </x:c>
      <x:c r="B563" t="str">
        <x:v>NA/1885/26-27</x:v>
      </x:c>
      <x:c r="C563" s="6" t="n">
        <x:v>46235</x:v>
      </x:c>
      <x:c r="D563" s="7" t="n">
        <x:v>4500</x:v>
      </x:c>
      <x:c r="E563" s="6" t="n">
        <x:v>46235</x:v>
      </x:c>
      <x:c r="F563" t="n">
        <x:f>TODAY()-E563</x:f>
        <x:v>0</x:v>
      </x:c>
      <x:c r="G563" s="7" t="n">
        <x:f>SUMIF($A$5:$A$563,A563,$D$5:$D$563)</x:f>
        <x:v>4500</x:v>
      </x:c>
    </x:row>
  </x:sheetData>
  <x:mergeCells>
    <x:mergeCell ref="A1:G1"/>
    <x:mergeCell ref="A2:G2"/>
  </x:mergeCells>
  <x:conditionalFormatting sqref="F5:F563">
    <x:cfRule type="colorScale" priority="1">
      <x:colorScale>
        <x:cfvo type="min"/>
        <x:cfvo type="percentile" val="50"/>
        <x:cfvo type="max"/>
        <x:color rgb="FFE2F0D9"/>
        <x:color rgb="FFFFE699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bbeac296ff340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8" hidden="0" customWidth="1"/>
    <x:col min="3" max="3" width="20" hidden="0" customWidth="1"/>
    <x:col min="4" max="4" width="18" hidden="0" customWidth="1"/>
    <x:col min="5" max="5" width="14" hidden="0" customWidth="1"/>
    <x:col min="6" max="6" width="16" hidden="0" customWidth="1"/>
    <x:col min="7" max="7" width="18" hidden="0" customWidth="1"/>
  </x:cols>
  <x:sheetData>
    <x:row r="1">
      <x:c r="A1" s="3" t="str">
        <x:v>Date-wise Receivables</x:v>
      </x:c>
      <x:c r="B1" s="3"/>
      <x:c r="C1" s="3"/>
      <x:c r="D1" s="3"/>
      <x:c r="E1" s="3"/>
      <x:c r="F1" s="3"/>
      <x:c r="G1" s="3"/>
    </x:row>
    <x:row r="2">
      <x:c r="A2" s="29" t="str">
        <x:v>Bills are sorted from oldest bill date to newest. Days Since Due updates automatically using TODAY().</x:v>
      </x:c>
      <x:c r="B2" s="29"/>
      <x:c r="C2" s="29"/>
      <x:c r="D2" s="29"/>
      <x:c r="E2" s="29"/>
      <x:c r="F2" s="29"/>
      <x:c r="G2" s="29"/>
    </x:row>
    <x:row r="4">
      <x:c r="A4" s="16" t="str">
        <x:v>Bill Date</x:v>
      </x:c>
      <x:c r="B4" s="17" t="str">
        <x:v>Company</x:v>
      </x:c>
      <x:c r="C4" s="17" t="str">
        <x:v>Bill Number</x:v>
      </x:c>
      <x:c r="D4" s="17" t="str">
        <x:v>Bill Value</x:v>
      </x:c>
      <x:c r="E4" s="17" t="str">
        <x:v>Due Date</x:v>
      </x:c>
      <x:c r="F4" s="17" t="str">
        <x:v>Days Since Due</x:v>
      </x:c>
      <x:c r="G4" s="18" t="str">
        <x:v>Company Total</x:v>
      </x:c>
    </x:row>
    <x:row r="5">
      <x:c r="A5" s="6" t="n">
        <x:v>45713</x:v>
      </x:c>
      <x:c r="B5" t="str">
        <x:v>Hatimi Enterprise</x:v>
      </x:c>
      <x:c r="C5" t="str">
        <x:v>NA/4094/24-25</x:v>
      </x:c>
      <x:c r="D5" s="7" t="n">
        <x:v>51250</x:v>
      </x:c>
      <x:c r="E5" s="6" t="n">
        <x:v>45713</x:v>
      </x:c>
      <x:c r="F5" t="n">
        <x:f>TODAY()-E5</x:f>
        <x:v>522</x:v>
      </x:c>
      <x:c r="G5" s="7" t="n">
        <x:f>SUMIF($B$5:$B$563,B5,$D$5:$D$563)</x:f>
        <x:v>117780</x:v>
      </x:c>
    </x:row>
    <x:row r="6">
      <x:c r="A6" s="6" t="n">
        <x:v>45748</x:v>
      </x:c>
      <x:c r="B6" t="str">
        <x:v>Hatimi Enterprise</x:v>
      </x:c>
      <x:c r="C6" t="str">
        <x:v>NA/0007/25-26</x:v>
      </x:c>
      <x:c r="D6" s="7" t="n">
        <x:v>6600</x:v>
      </x:c>
      <x:c r="E6" s="6" t="n">
        <x:v>45748</x:v>
      </x:c>
      <x:c r="F6" t="n">
        <x:f>TODAY()-E6</x:f>
        <x:v>487</x:v>
      </x:c>
      <x:c r="G6" s="7" t="n">
        <x:f>SUMIF($B$5:$B$563,B6,$D$5:$D$563)</x:f>
        <x:v>117780</x:v>
      </x:c>
    </x:row>
    <x:row r="7">
      <x:c r="A7" s="6" t="n">
        <x:v>45750</x:v>
      </x:c>
      <x:c r="B7" t="str">
        <x:v>Hatimi Enterprise</x:v>
      </x:c>
      <x:c r="C7" t="str">
        <x:v>NA/0038/25-26</x:v>
      </x:c>
      <x:c r="D7" s="7" t="n">
        <x:v>1514</x:v>
      </x:c>
      <x:c r="E7" s="6" t="n">
        <x:v>45750</x:v>
      </x:c>
      <x:c r="F7" t="n">
        <x:f>TODAY()-E7</x:f>
        <x:v>485</x:v>
      </x:c>
      <x:c r="G7" s="7" t="n">
        <x:f>SUMIF($B$5:$B$563,B7,$D$5:$D$563)</x:f>
        <x:v>117780</x:v>
      </x:c>
    </x:row>
    <x:row r="8">
      <x:c r="A8" s="6" t="n">
        <x:v>45763</x:v>
      </x:c>
      <x:c r="B8" t="str">
        <x:v>Hatimi Enterprise</x:v>
      </x:c>
      <x:c r="C8" t="str">
        <x:v>NA/0244/25-26</x:v>
      </x:c>
      <x:c r="D8" s="7" t="n">
        <x:v>8800</x:v>
      </x:c>
      <x:c r="E8" s="6" t="n">
        <x:v>45763</x:v>
      </x:c>
      <x:c r="F8" t="n">
        <x:f>TODAY()-E8</x:f>
        <x:v>472</x:v>
      </x:c>
      <x:c r="G8" s="7" t="n">
        <x:f>SUMIF($B$5:$B$563,B8,$D$5:$D$563)</x:f>
        <x:v>117780</x:v>
      </x:c>
    </x:row>
    <x:row r="9">
      <x:c r="A9" s="6" t="n">
        <x:v>45772</x:v>
      </x:c>
      <x:c r="B9" t="str">
        <x:v>Hatimi Enterprise</x:v>
      </x:c>
      <x:c r="C9" t="str">
        <x:v>NA/0394/25-26</x:v>
      </x:c>
      <x:c r="D9" s="7" t="n">
        <x:v>4000</x:v>
      </x:c>
      <x:c r="E9" s="6" t="n">
        <x:v>45772</x:v>
      </x:c>
      <x:c r="F9" t="n">
        <x:f>TODAY()-E9</x:f>
        <x:v>463</x:v>
      </x:c>
      <x:c r="G9" s="7" t="n">
        <x:f>SUMIF($B$5:$B$563,B9,$D$5:$D$563)</x:f>
        <x:v>117780</x:v>
      </x:c>
    </x:row>
    <x:row r="10">
      <x:c r="A10" s="6" t="n">
        <x:v>45805</x:v>
      </x:c>
      <x:c r="B10" t="str">
        <x:v>Hatimi Enterprise</x:v>
      </x:c>
      <x:c r="C10" t="str">
        <x:v>NA/0896/25-26</x:v>
      </x:c>
      <x:c r="D10" s="7" t="n">
        <x:v>4858</x:v>
      </x:c>
      <x:c r="E10" s="6" t="n">
        <x:v>45805</x:v>
      </x:c>
      <x:c r="F10" t="n">
        <x:f>TODAY()-E10</x:f>
        <x:v>430</x:v>
      </x:c>
      <x:c r="G10" s="7" t="n">
        <x:f>SUMIF($B$5:$B$563,B10,$D$5:$D$563)</x:f>
        <x:v>117780</x:v>
      </x:c>
    </x:row>
    <x:row r="11">
      <x:c r="A11" s="6" t="n">
        <x:v>45831</x:v>
      </x:c>
      <x:c r="B11" t="str">
        <x:v>Selvakumar Pipes &amp; Fittings Company</x:v>
      </x:c>
      <x:c r="C11" t="str">
        <x:v>NA/1281/25-26</x:v>
      </x:c>
      <x:c r="D11" s="7" t="n">
        <x:v>1284</x:v>
      </x:c>
      <x:c r="E11" s="6" t="n">
        <x:v>45831</x:v>
      </x:c>
      <x:c r="F11" t="n">
        <x:f>TODAY()-E11</x:f>
        <x:v>404</x:v>
      </x:c>
      <x:c r="G11" s="7" t="n">
        <x:f>SUMIF($B$5:$B$563,B11,$D$5:$D$563)</x:f>
        <x:v>23709</x:v>
      </x:c>
    </x:row>
    <x:row r="12">
      <x:c r="A12" s="6" t="n">
        <x:v>45850</x:v>
      </x:c>
      <x:c r="B12" t="str">
        <x:v>Selvakumar Pipes &amp; Fittings Company</x:v>
      </x:c>
      <x:c r="C12" t="str">
        <x:v>NA/1488/25-26</x:v>
      </x:c>
      <x:c r="D12" s="7" t="n">
        <x:v>4015</x:v>
      </x:c>
      <x:c r="E12" s="6" t="n">
        <x:v>45850</x:v>
      </x:c>
      <x:c r="F12" t="n">
        <x:f>TODAY()-E12</x:f>
        <x:v>385</x:v>
      </x:c>
      <x:c r="G12" s="7" t="n">
        <x:f>SUMIF($B$5:$B$563,B12,$D$5:$D$563)</x:f>
        <x:v>23709</x:v>
      </x:c>
    </x:row>
    <x:row r="13">
      <x:c r="A13" s="6" t="n">
        <x:v>45857</x:v>
      </x:c>
      <x:c r="B13" t="str">
        <x:v>Selvakumar Pipes &amp; Fittings Company</x:v>
      </x:c>
      <x:c r="C13" t="str">
        <x:v>NA/1600/25-26</x:v>
      </x:c>
      <x:c r="D13" s="7" t="n">
        <x:v>2784</x:v>
      </x:c>
      <x:c r="E13" s="6" t="n">
        <x:v>45857</x:v>
      </x:c>
      <x:c r="F13" t="n">
        <x:f>TODAY()-E13</x:f>
        <x:v>378</x:v>
      </x:c>
      <x:c r="G13" s="7" t="n">
        <x:f>SUMIF($B$5:$B$563,B13,$D$5:$D$563)</x:f>
        <x:v>23709</x:v>
      </x:c>
    </x:row>
    <x:row r="14">
      <x:c r="A14" s="6" t="n">
        <x:v>45860</x:v>
      </x:c>
      <x:c r="B14" t="str">
        <x:v>Quadari Enterprises</x:v>
      </x:c>
      <x:c r="C14" t="str">
        <x:v>NA/1657/25-26</x:v>
      </x:c>
      <x:c r="D14" s="7" t="n">
        <x:v>3512</x:v>
      </x:c>
      <x:c r="E14" s="6" t="n">
        <x:v>45860</x:v>
      </x:c>
      <x:c r="F14" t="n">
        <x:f>TODAY()-E14</x:f>
        <x:v>375</x:v>
      </x:c>
      <x:c r="G14" s="7" t="n">
        <x:f>SUMIF($B$5:$B$563,B14,$D$5:$D$563)</x:f>
        <x:v>58985</x:v>
      </x:c>
    </x:row>
    <x:row r="15">
      <x:c r="A15" s="6" t="n">
        <x:v>45871</x:v>
      </x:c>
      <x:c r="B15" t="str">
        <x:v>Quadari Enterprises</x:v>
      </x:c>
      <x:c r="C15" t="str">
        <x:v>NA/1845/25-26</x:v>
      </x:c>
      <x:c r="D15" s="7" t="n">
        <x:v>3507</x:v>
      </x:c>
      <x:c r="E15" s="6" t="n">
        <x:v>45871</x:v>
      </x:c>
      <x:c r="F15" t="n">
        <x:f>TODAY()-E15</x:f>
        <x:v>364</x:v>
      </x:c>
      <x:c r="G15" s="7" t="n">
        <x:f>SUMIF($B$5:$B$563,B15,$D$5:$D$563)</x:f>
        <x:v>58985</x:v>
      </x:c>
    </x:row>
    <x:row r="16">
      <x:c r="A16" s="6" t="n">
        <x:v>45877</x:v>
      </x:c>
      <x:c r="B16" t="str">
        <x:v>Selvakumar Pipes &amp; Fittings Company</x:v>
      </x:c>
      <x:c r="C16" t="str">
        <x:v>NA/1980/25-26</x:v>
      </x:c>
      <x:c r="D16" s="7" t="n">
        <x:v>7661</x:v>
      </x:c>
      <x:c r="E16" s="6" t="n">
        <x:v>45877</x:v>
      </x:c>
      <x:c r="F16" t="n">
        <x:f>TODAY()-E16</x:f>
        <x:v>358</x:v>
      </x:c>
      <x:c r="G16" s="7" t="n">
        <x:f>SUMIF($B$5:$B$563,B16,$D$5:$D$563)</x:f>
        <x:v>23709</x:v>
      </x:c>
    </x:row>
    <x:row r="17">
      <x:c r="A17" s="6" t="n">
        <x:v>45885</x:v>
      </x:c>
      <x:c r="B17" t="str">
        <x:v>Hatimi Enterprise</x:v>
      </x:c>
      <x:c r="C17" t="str">
        <x:v>NA/2084/25-26&lt;Auto&gt;</x:v>
      </x:c>
      <x:c r="D17" s="7" t="n">
        <x:v>4800</x:v>
      </x:c>
      <x:c r="E17" s="6" t="n">
        <x:v>45885</x:v>
      </x:c>
      <x:c r="F17" t="n">
        <x:f>TODAY()-E17</x:f>
        <x:v>350</x:v>
      </x:c>
      <x:c r="G17" s="7" t="n">
        <x:f>SUMIF($B$5:$B$563,B17,$D$5:$D$563)</x:f>
        <x:v>117780</x:v>
      </x:c>
    </x:row>
    <x:row r="18">
      <x:c r="A18" s="6" t="n">
        <x:v>45890</x:v>
      </x:c>
      <x:c r="B18" t="str">
        <x:v>Hatimi Enterprise</x:v>
      </x:c>
      <x:c r="C18" t="str">
        <x:v>NA/2165/25-26</x:v>
      </x:c>
      <x:c r="D18" s="7" t="n">
        <x:v>26208</x:v>
      </x:c>
      <x:c r="E18" s="6" t="n">
        <x:v>45890</x:v>
      </x:c>
      <x:c r="F18" t="n">
        <x:f>TODAY()-E18</x:f>
        <x:v>345</x:v>
      </x:c>
      <x:c r="G18" s="7" t="n">
        <x:f>SUMIF($B$5:$B$563,B18,$D$5:$D$563)</x:f>
        <x:v>117780</x:v>
      </x:c>
    </x:row>
    <x:row r="19">
      <x:c r="A19" s="6" t="n">
        <x:v>45892</x:v>
      </x:c>
      <x:c r="B19" t="str">
        <x:v>Quadari Enterprises</x:v>
      </x:c>
      <x:c r="C19" t="str">
        <x:v>NA/2215/25-26</x:v>
      </x:c>
      <x:c r="D19" s="7" t="n">
        <x:v>1077</x:v>
      </x:c>
      <x:c r="E19" s="6" t="n">
        <x:v>45892</x:v>
      </x:c>
      <x:c r="F19" t="n">
        <x:f>TODAY()-E19</x:f>
        <x:v>343</x:v>
      </x:c>
      <x:c r="G19" s="7" t="n">
        <x:f>SUMIF($B$5:$B$563,B19,$D$5:$D$563)</x:f>
        <x:v>58985</x:v>
      </x:c>
    </x:row>
    <x:row r="20">
      <x:c r="A20" s="6" t="n">
        <x:v>45899</x:v>
      </x:c>
      <x:c r="B20" t="str">
        <x:v>Quadari Enterprises</x:v>
      </x:c>
      <x:c r="C20" t="str">
        <x:v>NA/2331/25-26</x:v>
      </x:c>
      <x:c r="D20" s="7" t="n">
        <x:v>437</x:v>
      </x:c>
      <x:c r="E20" s="6" t="n">
        <x:v>45899</x:v>
      </x:c>
      <x:c r="F20" t="n">
        <x:f>TODAY()-E20</x:f>
        <x:v>336</x:v>
      </x:c>
      <x:c r="G20" s="7" t="n">
        <x:f>SUMIF($B$5:$B$563,B20,$D$5:$D$563)</x:f>
        <x:v>58985</x:v>
      </x:c>
    </x:row>
    <x:row r="21">
      <x:c r="A21" s="6" t="n">
        <x:v>45912</x:v>
      </x:c>
      <x:c r="B21" t="str">
        <x:v>Selvakumar Pipes &amp; Fittings Company</x:v>
      </x:c>
      <x:c r="C21" t="str">
        <x:v>NA/2544/25-26</x:v>
      </x:c>
      <x:c r="D21" s="7" t="n">
        <x:v>1861</x:v>
      </x:c>
      <x:c r="E21" s="6" t="n">
        <x:v>45912</x:v>
      </x:c>
      <x:c r="F21" t="n">
        <x:f>TODAY()-E21</x:f>
        <x:v>323</x:v>
      </x:c>
      <x:c r="G21" s="7" t="n">
        <x:f>SUMIF($B$5:$B$563,B21,$D$5:$D$563)</x:f>
        <x:v>23709</x:v>
      </x:c>
    </x:row>
    <x:row r="22">
      <x:c r="A22" s="6" t="n">
        <x:v>45912</x:v>
      </x:c>
      <x:c r="B22" t="str">
        <x:v>Selvakumar Pipes &amp; Fittings Company</x:v>
      </x:c>
      <x:c r="C22" t="str">
        <x:v>NA/2545/25-26</x:v>
      </x:c>
      <x:c r="D22" s="7" t="n">
        <x:v>2054</x:v>
      </x:c>
      <x:c r="E22" s="6" t="n">
        <x:v>45912</x:v>
      </x:c>
      <x:c r="F22" t="n">
        <x:f>TODAY()-E22</x:f>
        <x:v>323</x:v>
      </x:c>
      <x:c r="G22" s="7" t="n">
        <x:f>SUMIF($B$5:$B$563,B22,$D$5:$D$563)</x:f>
        <x:v>23709</x:v>
      </x:c>
    </x:row>
    <x:row r="23">
      <x:c r="A23" s="6" t="n">
        <x:v>45912</x:v>
      </x:c>
      <x:c r="B23" t="str">
        <x:v>V Guard Industries Ltd (EMW)</x:v>
      </x:c>
      <x:c r="C23" t="str">
        <x:v>NA/2542/25-26</x:v>
      </x:c>
      <x:c r="D23" s="7" t="n">
        <x:v>5206</x:v>
      </x:c>
      <x:c r="E23" s="6" t="n">
        <x:v>45912</x:v>
      </x:c>
      <x:c r="F23" t="n">
        <x:f>TODAY()-E23</x:f>
        <x:v>323</x:v>
      </x:c>
      <x:c r="G23" s="7" t="n">
        <x:f>SUMIF($B$5:$B$563,B23,$D$5:$D$563)</x:f>
        <x:v>70377</x:v>
      </x:c>
    </x:row>
    <x:row r="24">
      <x:c r="A24" s="6" t="n">
        <x:v>45915</x:v>
      </x:c>
      <x:c r="B24" t="str">
        <x:v>Selvakumar Pipes &amp; Fittings Company</x:v>
      </x:c>
      <x:c r="C24" t="str">
        <x:v>NA/2603/25-26</x:v>
      </x:c>
      <x:c r="D24" s="7" t="n">
        <x:v>3000</x:v>
      </x:c>
      <x:c r="E24" s="6" t="n">
        <x:v>45915</x:v>
      </x:c>
      <x:c r="F24" t="n">
        <x:f>TODAY()-E24</x:f>
        <x:v>320</x:v>
      </x:c>
      <x:c r="G24" s="7" t="n">
        <x:f>SUMIF($B$5:$B$563,B24,$D$5:$D$563)</x:f>
        <x:v>23709</x:v>
      </x:c>
    </x:row>
    <x:row r="25">
      <x:c r="A25" s="6" t="n">
        <x:v>45917</x:v>
      </x:c>
      <x:c r="B25" t="str">
        <x:v>Hatimi Enterprise</x:v>
      </x:c>
      <x:c r="C25" t="str">
        <x:v>NA/2629/25-26</x:v>
      </x:c>
      <x:c r="D25" s="7" t="n">
        <x:v>2000</x:v>
      </x:c>
      <x:c r="E25" s="6" t="n">
        <x:v>45917</x:v>
      </x:c>
      <x:c r="F25" t="n">
        <x:f>TODAY()-E25</x:f>
        <x:v>318</x:v>
      </x:c>
      <x:c r="G25" s="7" t="n">
        <x:f>SUMIF($B$5:$B$563,B25,$D$5:$D$563)</x:f>
        <x:v>117780</x:v>
      </x:c>
    </x:row>
    <x:row r="26">
      <x:c r="A26" s="6" t="n">
        <x:v>45920</x:v>
      </x:c>
      <x:c r="B26" t="str">
        <x:v>Selvakumar Pipes &amp; Fittings Company</x:v>
      </x:c>
      <x:c r="C26" t="str">
        <x:v>NA/2705/25-26</x:v>
      </x:c>
      <x:c r="D26" s="7" t="n">
        <x:v>1050</x:v>
      </x:c>
      <x:c r="E26" s="6" t="n">
        <x:v>45920</x:v>
      </x:c>
      <x:c r="F26" t="n">
        <x:f>TODAY()-E26</x:f>
        <x:v>315</x:v>
      </x:c>
      <x:c r="G26" s="7" t="n">
        <x:f>SUMIF($B$5:$B$563,B26,$D$5:$D$563)</x:f>
        <x:v>23709</x:v>
      </x:c>
    </x:row>
    <x:row r="27">
      <x:c r="A27" s="6" t="n">
        <x:v>45930</x:v>
      </x:c>
      <x:c r="B27" t="str">
        <x:v>Hatimi Enterprise</x:v>
      </x:c>
      <x:c r="C27" t="str">
        <x:v>NA/2840/25-26</x:v>
      </x:c>
      <x:c r="D27" s="7" t="n">
        <x:v>7000</x:v>
      </x:c>
      <x:c r="E27" s="6" t="n">
        <x:v>45930</x:v>
      </x:c>
      <x:c r="F27" t="n">
        <x:f>TODAY()-E27</x:f>
        <x:v>305</x:v>
      </x:c>
      <x:c r="G27" s="7" t="n">
        <x:f>SUMIF($B$5:$B$563,B27,$D$5:$D$563)</x:f>
        <x:v>117780</x:v>
      </x:c>
    </x:row>
    <x:row r="28">
      <x:c r="A28" s="6" t="n">
        <x:v>45933</x:v>
      </x:c>
      <x:c r="B28" t="str">
        <x:v>Hatimi Enterprise</x:v>
      </x:c>
      <x:c r="C28" t="str">
        <x:v>NA/2864/25-26</x:v>
      </x:c>
      <x:c r="D28" s="7" t="n">
        <x:v>750</x:v>
      </x:c>
      <x:c r="E28" s="6" t="n">
        <x:v>45933</x:v>
      </x:c>
      <x:c r="F28" t="n">
        <x:f>TODAY()-E28</x:f>
        <x:v>302</x:v>
      </x:c>
      <x:c r="G28" s="7" t="n">
        <x:f>SUMIF($B$5:$B$563,B28,$D$5:$D$563)</x:f>
        <x:v>117780</x:v>
      </x:c>
    </x:row>
    <x:row r="29">
      <x:c r="A29" s="6" t="n">
        <x:v>45934</x:v>
      </x:c>
      <x:c r="B29" t="str">
        <x:v>Sri Meenakshi Hardware and Tools</x:v>
      </x:c>
      <x:c r="C29" t="str">
        <x:v>NA/2883/25-26</x:v>
      </x:c>
      <x:c r="D29" s="7" t="n">
        <x:v>16089</x:v>
      </x:c>
      <x:c r="E29" s="6" t="n">
        <x:v>45934</x:v>
      </x:c>
      <x:c r="F29" t="n">
        <x:f>TODAY()-E29</x:f>
        <x:v>301</x:v>
      </x:c>
      <x:c r="G29" s="7" t="n">
        <x:f>SUMIF($B$5:$B$563,B29,$D$5:$D$563)</x:f>
        <x:v>158534</x:v>
      </x:c>
    </x:row>
    <x:row r="30">
      <x:c r="A30" s="6" t="n">
        <x:v>45936</x:v>
      </x:c>
      <x:c r="B30" t="str">
        <x:v>IntegratedConveyors&amp;PaclineAutomationTechnologies</x:v>
      </x:c>
      <x:c r="C30" t="str">
        <x:v>NA/2916/25-26</x:v>
      </x:c>
      <x:c r="D30" s="7" t="n">
        <x:v>46728</x:v>
      </x:c>
      <x:c r="E30" s="6" t="n">
        <x:v>45936</x:v>
      </x:c>
      <x:c r="F30" t="n">
        <x:f>TODAY()-E30</x:f>
        <x:v>299</x:v>
      </x:c>
      <x:c r="G30" s="7" t="n">
        <x:f>SUMIF($B$5:$B$563,B30,$D$5:$D$563)</x:f>
        <x:v>78587</x:v>
      </x:c>
    </x:row>
    <x:row r="31">
      <x:c r="A31" s="6" t="n">
        <x:v>45941</x:v>
      </x:c>
      <x:c r="B31" t="str">
        <x:v>Sri Meenakshi Hardware and Tools</x:v>
      </x:c>
      <x:c r="C31" t="str">
        <x:v>NA/3018/25-26</x:v>
      </x:c>
      <x:c r="D31" s="7" t="n">
        <x:v>2000</x:v>
      </x:c>
      <x:c r="E31" s="6" t="n">
        <x:v>45941</x:v>
      </x:c>
      <x:c r="F31" t="n">
        <x:f>TODAY()-E31</x:f>
        <x:v>294</x:v>
      </x:c>
      <x:c r="G31" s="7" t="n">
        <x:f>SUMIF($B$5:$B$563,B31,$D$5:$D$563)</x:f>
        <x:v>158534</x:v>
      </x:c>
    </x:row>
    <x:row r="32">
      <x:c r="A32" s="6" t="n">
        <x:v>45944</x:v>
      </x:c>
      <x:c r="B32" t="str">
        <x:v>Maimoon Industrial Suppliers</x:v>
      </x:c>
      <x:c r="C32" t="str">
        <x:v>NA/3072/25-26</x:v>
      </x:c>
      <x:c r="D32" s="7" t="n">
        <x:v>13000</x:v>
      </x:c>
      <x:c r="E32" s="6" t="n">
        <x:v>45944</x:v>
      </x:c>
      <x:c r="F32" t="n">
        <x:f>TODAY()-E32</x:f>
        <x:v>291</x:v>
      </x:c>
      <x:c r="G32" s="7" t="n">
        <x:f>SUMIF($B$5:$B$563,B32,$D$5:$D$563)</x:f>
        <x:v>13000</x:v>
      </x:c>
    </x:row>
    <x:row r="33">
      <x:c r="A33" s="6" t="n">
        <x:v>45948</x:v>
      </x:c>
      <x:c r="B33" t="str">
        <x:v>Sri Meenakshi Hardware and Tools</x:v>
      </x:c>
      <x:c r="C33" t="str">
        <x:v>NA/3121/25-26</x:v>
      </x:c>
      <x:c r="D33" s="7" t="n">
        <x:v>6445</x:v>
      </x:c>
      <x:c r="E33" s="6" t="n">
        <x:v>45948</x:v>
      </x:c>
      <x:c r="F33" t="n">
        <x:f>TODAY()-E33</x:f>
        <x:v>287</x:v>
      </x:c>
      <x:c r="G33" s="7" t="n">
        <x:f>SUMIF($B$5:$B$563,B33,$D$5:$D$563)</x:f>
        <x:v>158534</x:v>
      </x:c>
    </x:row>
    <x:row r="34">
      <x:c r="A34" s="6" t="n">
        <x:v>45962</x:v>
      </x:c>
      <x:c r="B34" t="str">
        <x:v>Quadari Enterprises</x:v>
      </x:c>
      <x:c r="C34" t="str">
        <x:v>NA/3332/25-26</x:v>
      </x:c>
      <x:c r="D34" s="7" t="n">
        <x:v>1174</x:v>
      </x:c>
      <x:c r="E34" s="6" t="n">
        <x:v>45962</x:v>
      </x:c>
      <x:c r="F34" t="n">
        <x:f>TODAY()-E34</x:f>
        <x:v>273</x:v>
      </x:c>
      <x:c r="G34" s="7" t="n">
        <x:f>SUMIF($B$5:$B$563,B34,$D$5:$D$563)</x:f>
        <x:v>58985</x:v>
      </x:c>
    </x:row>
    <x:row r="35">
      <x:c r="A35" s="6" t="n">
        <x:v>45971</x:v>
      </x:c>
      <x:c r="B35" t="str">
        <x:v>Sri Meenakshi Hardware and Tools</x:v>
      </x:c>
      <x:c r="C35" t="str">
        <x:v>NA/3476/25-26</x:v>
      </x:c>
      <x:c r="D35" s="7" t="n">
        <x:v>4800</x:v>
      </x:c>
      <x:c r="E35" s="6" t="n">
        <x:v>45971</x:v>
      </x:c>
      <x:c r="F35" t="n">
        <x:f>TODAY()-E35</x:f>
        <x:v>264</x:v>
      </x:c>
      <x:c r="G35" s="7" t="n">
        <x:f>SUMIF($B$5:$B$563,B35,$D$5:$D$563)</x:f>
        <x:v>158534</x:v>
      </x:c>
    </x:row>
    <x:row r="36">
      <x:c r="A36" s="6" t="n">
        <x:v>45987</x:v>
      </x:c>
      <x:c r="B36" t="str">
        <x:v>V Guard Industries Ltd (EMW)</x:v>
      </x:c>
      <x:c r="C36" t="str">
        <x:v>NA/3775/25-26</x:v>
      </x:c>
      <x:c r="D36" s="7" t="n">
        <x:v>6077</x:v>
      </x:c>
      <x:c r="E36" s="6" t="n">
        <x:v>45987</x:v>
      </x:c>
      <x:c r="F36" t="n">
        <x:f>TODAY()-E36</x:f>
        <x:v>248</x:v>
      </x:c>
      <x:c r="G36" s="7" t="n">
        <x:f>SUMIF($B$5:$B$563,B36,$D$5:$D$563)</x:f>
        <x:v>70377</x:v>
      </x:c>
    </x:row>
    <x:row r="37">
      <x:c r="A37" s="6" t="n">
        <x:v>45990</x:v>
      </x:c>
      <x:c r="B37" t="str">
        <x:v>Quadari Enterprises</x:v>
      </x:c>
      <x:c r="C37" t="str">
        <x:v>NA/3836/25-26</x:v>
      </x:c>
      <x:c r="D37" s="7" t="n">
        <x:v>2662</x:v>
      </x:c>
      <x:c r="E37" s="6" t="n">
        <x:v>45990</x:v>
      </x:c>
      <x:c r="F37" t="n">
        <x:f>TODAY()-E37</x:f>
        <x:v>245</x:v>
      </x:c>
      <x:c r="G37" s="7" t="n">
        <x:f>SUMIF($B$5:$B$563,B37,$D$5:$D$563)</x:f>
        <x:v>58985</x:v>
      </x:c>
    </x:row>
    <x:row r="38">
      <x:c r="A38" s="6" t="n">
        <x:v>45997</x:v>
      </x:c>
      <x:c r="B38" t="str">
        <x:v>Sri Meenakshi Hardware and Tools</x:v>
      </x:c>
      <x:c r="C38" t="str">
        <x:v>NA/3960/25-26</x:v>
      </x:c>
      <x:c r="D38" s="7" t="n">
        <x:v>5500</x:v>
      </x:c>
      <x:c r="E38" s="6" t="n">
        <x:v>45997</x:v>
      </x:c>
      <x:c r="F38" t="n">
        <x:f>TODAY()-E38</x:f>
        <x:v>238</x:v>
      </x:c>
      <x:c r="G38" s="7" t="n">
        <x:f>SUMIF($B$5:$B$563,B38,$D$5:$D$563)</x:f>
        <x:v>158534</x:v>
      </x:c>
    </x:row>
    <x:row r="39">
      <x:c r="A39" s="6" t="n">
        <x:v>46010</x:v>
      </x:c>
      <x:c r="B39" t="str">
        <x:v>Sri Meenakshi Hardware and Tools</x:v>
      </x:c>
      <x:c r="C39" t="str">
        <x:v>NA/4185/25-26</x:v>
      </x:c>
      <x:c r="D39" s="7" t="n">
        <x:v>26000</x:v>
      </x:c>
      <x:c r="E39" s="6" t="n">
        <x:v>46010</x:v>
      </x:c>
      <x:c r="F39" t="n">
        <x:f>TODAY()-E39</x:f>
        <x:v>225</x:v>
      </x:c>
      <x:c r="G39" s="7" t="n">
        <x:f>SUMIF($B$5:$B$563,B39,$D$5:$D$563)</x:f>
        <x:v>158534</x:v>
      </x:c>
    </x:row>
    <x:row r="40">
      <x:c r="A40" s="6" t="n">
        <x:v>46011</x:v>
      </x:c>
      <x:c r="B40" t="str">
        <x:v>Alutech Foundry India (P) LTD</x:v>
      </x:c>
      <x:c r="C40" t="str">
        <x:v>NA/4218/25-26</x:v>
      </x:c>
      <x:c r="D40" s="7" t="n">
        <x:v>885</x:v>
      </x:c>
      <x:c r="E40" s="6" t="n">
        <x:v>46011</x:v>
      </x:c>
      <x:c r="F40" t="n">
        <x:f>TODAY()-E40</x:f>
        <x:v>224</x:v>
      </x:c>
      <x:c r="G40" s="7" t="n">
        <x:f>SUMIF($B$5:$B$563,B40,$D$5:$D$563)</x:f>
        <x:v>7965</x:v>
      </x:c>
    </x:row>
    <x:row r="41">
      <x:c r="A41" s="6" t="n">
        <x:v>46011</x:v>
      </x:c>
      <x:c r="B41" t="str">
        <x:v>Sri Meenakshi Hardware and Tools</x:v>
      </x:c>
      <x:c r="C41" t="str">
        <x:v>NA/4198/25-26</x:v>
      </x:c>
      <x:c r="D41" s="7" t="n">
        <x:v>4250</x:v>
      </x:c>
      <x:c r="E41" s="6" t="n">
        <x:v>46011</x:v>
      </x:c>
      <x:c r="F41" t="n">
        <x:f>TODAY()-E41</x:f>
        <x:v>224</x:v>
      </x:c>
      <x:c r="G41" s="7" t="n">
        <x:f>SUMIF($B$5:$B$563,B41,$D$5:$D$563)</x:f>
        <x:v>158534</x:v>
      </x:c>
    </x:row>
    <x:row r="42">
      <x:c r="A42" s="6" t="n">
        <x:v>46017</x:v>
      </x:c>
      <x:c r="B42" t="str">
        <x:v>Velavan Mill Store</x:v>
      </x:c>
      <x:c r="C42" t="str">
        <x:v>NA/4314/25-26</x:v>
      </x:c>
      <x:c r="D42" s="7" t="n">
        <x:v>20589</x:v>
      </x:c>
      <x:c r="E42" s="6" t="n">
        <x:v>46017</x:v>
      </x:c>
      <x:c r="F42" t="n">
        <x:f>TODAY()-E42</x:f>
        <x:v>218</x:v>
      </x:c>
      <x:c r="G42" s="7" t="n">
        <x:f>SUMIF($B$5:$B$563,B42,$D$5:$D$563)</x:f>
        <x:v>44439</x:v>
      </x:c>
    </x:row>
    <x:row r="43">
      <x:c r="A43" s="6" t="n">
        <x:v>46028</x:v>
      </x:c>
      <x:c r="B43" t="str">
        <x:v>Alutech Foundry India (P) LTD</x:v>
      </x:c>
      <x:c r="C43" t="str">
        <x:v>NA/4478/25-26</x:v>
      </x:c>
      <x:c r="D43" s="7" t="n">
        <x:v>5310</x:v>
      </x:c>
      <x:c r="E43" s="6" t="n">
        <x:v>46028</x:v>
      </x:c>
      <x:c r="F43" t="n">
        <x:f>TODAY()-E43</x:f>
        <x:v>207</x:v>
      </x:c>
      <x:c r="G43" s="7" t="n">
        <x:f>SUMIF($B$5:$B$563,B43,$D$5:$D$563)</x:f>
        <x:v>7965</x:v>
      </x:c>
    </x:row>
    <x:row r="44">
      <x:c r="A44" s="6" t="n">
        <x:v>46032</x:v>
      </x:c>
      <x:c r="B44" t="str">
        <x:v>B M Trade Links</x:v>
      </x:c>
      <x:c r="C44" t="str">
        <x:v>NA/4555/25-26</x:v>
      </x:c>
      <x:c r="D44" s="7" t="n">
        <x:v>972</x:v>
      </x:c>
      <x:c r="E44" s="6" t="n">
        <x:v>46032</x:v>
      </x:c>
      <x:c r="F44" t="n">
        <x:f>TODAY()-E44</x:f>
        <x:v>203</x:v>
      </x:c>
      <x:c r="G44" s="7" t="n">
        <x:f>SUMIF($B$5:$B$563,B44,$D$5:$D$563)</x:f>
        <x:v>23286</x:v>
      </x:c>
    </x:row>
    <x:row r="45">
      <x:c r="A45" s="6" t="n">
        <x:v>46034</x:v>
      </x:c>
      <x:c r="B45" t="str">
        <x:v>Aqiq Enterprises</x:v>
      </x:c>
      <x:c r="C45" t="str">
        <x:v>NA/4570/25-26</x:v>
      </x:c>
      <x:c r="D45" s="7" t="n">
        <x:v>2765</x:v>
      </x:c>
      <x:c r="E45" s="6" t="n">
        <x:v>46034</x:v>
      </x:c>
      <x:c r="F45" t="n">
        <x:f>TODAY()-E45</x:f>
        <x:v>201</x:v>
      </x:c>
      <x:c r="G45" s="7" t="n">
        <x:f>SUMIF($B$5:$B$563,B45,$D$5:$D$563)</x:f>
        <x:v>10155</x:v>
      </x:c>
    </x:row>
    <x:row r="46">
      <x:c r="A46" s="6" t="n">
        <x:v>46046</x:v>
      </x:c>
      <x:c r="B46" t="str">
        <x:v>Burhani Traders</x:v>
      </x:c>
      <x:c r="C46" t="str">
        <x:v>NA/4724/25-26</x:v>
      </x:c>
      <x:c r="D46" s="7" t="n">
        <x:v>11924</x:v>
      </x:c>
      <x:c r="E46" s="6" t="n">
        <x:v>46046</x:v>
      </x:c>
      <x:c r="F46" t="n">
        <x:f>TODAY()-E46</x:f>
        <x:v>189</x:v>
      </x:c>
      <x:c r="G46" s="7" t="n">
        <x:f>SUMIF($B$5:$B$563,B46,$D$5:$D$563)</x:f>
        <x:v>238111</x:v>
      </x:c>
    </x:row>
    <x:row r="47">
      <x:c r="A47" s="6" t="n">
        <x:v>46046</x:v>
      </x:c>
      <x:c r="B47" t="str">
        <x:v>Sri Meenakshi Hardware and Tools</x:v>
      </x:c>
      <x:c r="C47" t="str">
        <x:v>NA/4709/25-26</x:v>
      </x:c>
      <x:c r="D47" s="7" t="n">
        <x:v>13200</x:v>
      </x:c>
      <x:c r="E47" s="6" t="n">
        <x:v>46046</x:v>
      </x:c>
      <x:c r="F47" t="n">
        <x:f>TODAY()-E47</x:f>
        <x:v>189</x:v>
      </x:c>
      <x:c r="G47" s="7" t="n">
        <x:f>SUMIF($B$5:$B$563,B47,$D$5:$D$563)</x:f>
        <x:v>158534</x:v>
      </x:c>
    </x:row>
    <x:row r="48">
      <x:c r="A48" s="6" t="n">
        <x:v>46046</x:v>
      </x:c>
      <x:c r="B48" t="str">
        <x:v>Sri Meenakshi Hardware and Tools</x:v>
      </x:c>
      <x:c r="C48" t="str">
        <x:v>NA/4726/25-26</x:v>
      </x:c>
      <x:c r="D48" s="7" t="n">
        <x:v>2643</x:v>
      </x:c>
      <x:c r="E48" s="6" t="n">
        <x:v>46046</x:v>
      </x:c>
      <x:c r="F48" t="n">
        <x:f>TODAY()-E48</x:f>
        <x:v>189</x:v>
      </x:c>
      <x:c r="G48" s="7" t="n">
        <x:f>SUMIF($B$5:$B$563,B48,$D$5:$D$563)</x:f>
        <x:v>158534</x:v>
      </x:c>
    </x:row>
    <x:row r="49">
      <x:c r="A49" s="6" t="n">
        <x:v>46049</x:v>
      </x:c>
      <x:c r="B49" t="str">
        <x:v>Sri Meenakshi Hardware and Tools</x:v>
      </x:c>
      <x:c r="C49" t="str">
        <x:v>NA/4742/25-26</x:v>
      </x:c>
      <x:c r="D49" s="7" t="n">
        <x:v>4900</x:v>
      </x:c>
      <x:c r="E49" s="6" t="n">
        <x:v>46049</x:v>
      </x:c>
      <x:c r="F49" t="n">
        <x:f>TODAY()-E49</x:f>
        <x:v>186</x:v>
      </x:c>
      <x:c r="G49" s="7" t="n">
        <x:f>SUMIF($B$5:$B$563,B49,$D$5:$D$563)</x:f>
        <x:v>158534</x:v>
      </x:c>
    </x:row>
    <x:row r="50">
      <x:c r="A50" s="6" t="n">
        <x:v>46051</x:v>
      </x:c>
      <x:c r="B50" t="str">
        <x:v>IntegratedConveyors&amp;PaclineAutomationTechnologies</x:v>
      </x:c>
      <x:c r="C50" t="str">
        <x:v>NA/4769/25-26</x:v>
      </x:c>
      <x:c r="D50" s="7" t="n">
        <x:v>4720</x:v>
      </x:c>
      <x:c r="E50" s="6" t="n">
        <x:v>46051</x:v>
      </x:c>
      <x:c r="F50" t="n">
        <x:f>TODAY()-E50</x:f>
        <x:v>184</x:v>
      </x:c>
      <x:c r="G50" s="7" t="n">
        <x:f>SUMIF($B$5:$B$563,B50,$D$5:$D$563)</x:f>
        <x:v>78587</x:v>
      </x:c>
    </x:row>
    <x:row r="51">
      <x:c r="A51" s="6" t="n">
        <x:v>46052</x:v>
      </x:c>
      <x:c r="B51" t="str">
        <x:v>Burhani Traders</x:v>
      </x:c>
      <x:c r="C51" t="str">
        <x:v>NA/4785/25-26</x:v>
      </x:c>
      <x:c r="D51" s="7" t="n">
        <x:v>12000</x:v>
      </x:c>
      <x:c r="E51" s="6" t="n">
        <x:v>46052</x:v>
      </x:c>
      <x:c r="F51" t="n">
        <x:f>TODAY()-E51</x:f>
        <x:v>183</x:v>
      </x:c>
      <x:c r="G51" s="7" t="n">
        <x:f>SUMIF($B$5:$B$563,B51,$D$5:$D$563)</x:f>
        <x:v>238111</x:v>
      </x:c>
    </x:row>
    <x:row r="52">
      <x:c r="A52" s="6" t="n">
        <x:v>46053</x:v>
      </x:c>
      <x:c r="B52" t="str">
        <x:v>B M Trade Links</x:v>
      </x:c>
      <x:c r="C52" t="str">
        <x:v>NA/4810/25-26</x:v>
      </x:c>
      <x:c r="D52" s="7" t="n">
        <x:v>168</x:v>
      </x:c>
      <x:c r="E52" s="6" t="n">
        <x:v>46053</x:v>
      </x:c>
      <x:c r="F52" t="n">
        <x:f>TODAY()-E52</x:f>
        <x:v>182</x:v>
      </x:c>
      <x:c r="G52" s="7" t="n">
        <x:f>SUMIF($B$5:$B$563,B52,$D$5:$D$563)</x:f>
        <x:v>23286</x:v>
      </x:c>
    </x:row>
    <x:row r="53">
      <x:c r="A53" s="6" t="n">
        <x:v>46053</x:v>
      </x:c>
      <x:c r="B53" t="str">
        <x:v>Sri Meenakshi Hardware and Tools</x:v>
      </x:c>
      <x:c r="C53" t="str">
        <x:v>NA/4811/25-26</x:v>
      </x:c>
      <x:c r="D53" s="7" t="n">
        <x:v>1700</x:v>
      </x:c>
      <x:c r="E53" s="6" t="n">
        <x:v>46053</x:v>
      </x:c>
      <x:c r="F53" t="n">
        <x:f>TODAY()-E53</x:f>
        <x:v>182</x:v>
      </x:c>
      <x:c r="G53" s="7" t="n">
        <x:f>SUMIF($B$5:$B$563,B53,$D$5:$D$563)</x:f>
        <x:v>158534</x:v>
      </x:c>
    </x:row>
    <x:row r="54">
      <x:c r="A54" s="6" t="n">
        <x:v>46055</x:v>
      </x:c>
      <x:c r="B54" t="str">
        <x:v>B M Trade Links</x:v>
      </x:c>
      <x:c r="C54" t="str">
        <x:v>NA/4824/25-26</x:v>
      </x:c>
      <x:c r="D54" s="7" t="n">
        <x:v>588</x:v>
      </x:c>
      <x:c r="E54" s="6" t="n">
        <x:v>46055</x:v>
      </x:c>
      <x:c r="F54" t="n">
        <x:f>TODAY()-E54</x:f>
        <x:v>180</x:v>
      </x:c>
      <x:c r="G54" s="7" t="n">
        <x:f>SUMIF($B$5:$B$563,B54,$D$5:$D$563)</x:f>
        <x:v>23286</x:v>
      </x:c>
    </x:row>
    <x:row r="55">
      <x:c r="A55" s="6" t="n">
        <x:v>46062</x:v>
      </x:c>
      <x:c r="B55" t="str">
        <x:v>IntegratedConveyors&amp;PaclineAutomationTechnologies</x:v>
      </x:c>
      <x:c r="C55" t="str">
        <x:v>NA/4942/25-26</x:v>
      </x:c>
      <x:c r="D55" s="7" t="n">
        <x:v>2950</x:v>
      </x:c>
      <x:c r="E55" s="6" t="n">
        <x:v>46062</x:v>
      </x:c>
      <x:c r="F55" t="n">
        <x:f>TODAY()-E55</x:f>
        <x:v>173</x:v>
      </x:c>
      <x:c r="G55" s="7" t="n">
        <x:f>SUMIF($B$5:$B$563,B55,$D$5:$D$563)</x:f>
        <x:v>78587</x:v>
      </x:c>
    </x:row>
    <x:row r="56">
      <x:c r="A56" s="6" t="n">
        <x:v>46063</x:v>
      </x:c>
      <x:c r="B56" t="str">
        <x:v>Quadari Enterprises</x:v>
      </x:c>
      <x:c r="C56" t="str">
        <x:v>NA/4974/25-26</x:v>
      </x:c>
      <x:c r="D56" s="7" t="n">
        <x:v>2455</x:v>
      </x:c>
      <x:c r="E56" s="6" t="n">
        <x:v>46063</x:v>
      </x:c>
      <x:c r="F56" t="n">
        <x:f>TODAY()-E56</x:f>
        <x:v>172</x:v>
      </x:c>
      <x:c r="G56" s="7" t="n">
        <x:f>SUMIF($B$5:$B$563,B56,$D$5:$D$563)</x:f>
        <x:v>58985</x:v>
      </x:c>
    </x:row>
    <x:row r="57">
      <x:c r="A57" s="6" t="n">
        <x:v>46067</x:v>
      </x:c>
      <x:c r="B57" t="str">
        <x:v>Aqiq Enterprises</x:v>
      </x:c>
      <x:c r="C57" t="str">
        <x:v>NA/5030/25-26</x:v>
      </x:c>
      <x:c r="D57" s="7" t="n">
        <x:v>1766</x:v>
      </x:c>
      <x:c r="E57" s="6" t="n">
        <x:v>46067</x:v>
      </x:c>
      <x:c r="F57" t="n">
        <x:f>TODAY()-E57</x:f>
        <x:v>168</x:v>
      </x:c>
      <x:c r="G57" s="7" t="n">
        <x:f>SUMIF($B$5:$B$563,B57,$D$5:$D$563)</x:f>
        <x:v>10155</x:v>
      </x:c>
    </x:row>
    <x:row r="58">
      <x:c r="A58" s="6" t="n">
        <x:v>46067</x:v>
      </x:c>
      <x:c r="B58" t="str">
        <x:v>Burhani Traders</x:v>
      </x:c>
      <x:c r="C58" t="str">
        <x:v>NA/5046/25-26</x:v>
      </x:c>
      <x:c r="D58" s="7" t="n">
        <x:v>8000</x:v>
      </x:c>
      <x:c r="E58" s="6" t="n">
        <x:v>46067</x:v>
      </x:c>
      <x:c r="F58" t="n">
        <x:f>TODAY()-E58</x:f>
        <x:v>168</x:v>
      </x:c>
      <x:c r="G58" s="7" t="n">
        <x:f>SUMIF($B$5:$B$563,B58,$D$5:$D$563)</x:f>
        <x:v>238111</x:v>
      </x:c>
    </x:row>
    <x:row r="59">
      <x:c r="A59" s="6" t="n">
        <x:v>46067</x:v>
      </x:c>
      <x:c r="B59" t="str">
        <x:v>Excellent Traders</x:v>
      </x:c>
      <x:c r="C59" t="str">
        <x:v>NA/5047/25-26</x:v>
      </x:c>
      <x:c r="D59" s="7" t="n">
        <x:v>3125</x:v>
      </x:c>
      <x:c r="E59" s="6" t="n">
        <x:v>46067</x:v>
      </x:c>
      <x:c r="F59" t="n">
        <x:f>TODAY()-E59</x:f>
        <x:v>168</x:v>
      </x:c>
      <x:c r="G59" s="7" t="n">
        <x:f>SUMIF($B$5:$B$563,B59,$D$5:$D$563)</x:f>
        <x:v>10782</x:v>
      </x:c>
    </x:row>
    <x:row r="60">
      <x:c r="A60" s="6" t="n">
        <x:v>46070</x:v>
      </x:c>
      <x:c r="B60" t="str">
        <x:v>Unique Wire Ropes &amp; Tackles</x:v>
      </x:c>
      <x:c r="C60" t="str">
        <x:v>NA/5067/25-26</x:v>
      </x:c>
      <x:c r="D60" s="7" t="n">
        <x:v>625</x:v>
      </x:c>
      <x:c r="E60" s="6" t="n">
        <x:v>46070</x:v>
      </x:c>
      <x:c r="F60" t="n">
        <x:f>TODAY()-E60</x:f>
        <x:v>165</x:v>
      </x:c>
      <x:c r="G60" s="7" t="n">
        <x:f>SUMIF($B$5:$B$563,B60,$D$5:$D$563)</x:f>
        <x:v>86975</x:v>
      </x:c>
    </x:row>
    <x:row r="61">
      <x:c r="A61" s="6" t="n">
        <x:v>46073</x:v>
      </x:c>
      <x:c r="B61" t="str">
        <x:v>TRUE VALUE SHOES AND SAFETY</x:v>
      </x:c>
      <x:c r="C61" t="str">
        <x:v>NA/5135/25-26</x:v>
      </x:c>
      <x:c r="D61" s="7" t="n">
        <x:v>12500</x:v>
      </x:c>
      <x:c r="E61" s="6" t="n">
        <x:v>46073</x:v>
      </x:c>
      <x:c r="F61" t="n">
        <x:f>TODAY()-E61</x:f>
        <x:v>162</x:v>
      </x:c>
      <x:c r="G61" s="7" t="n">
        <x:f>SUMIF($B$5:$B$563,B61,$D$5:$D$563)</x:f>
        <x:v>68445</x:v>
      </x:c>
    </x:row>
    <x:row r="62">
      <x:c r="A62" s="6" t="n">
        <x:v>46074</x:v>
      </x:c>
      <x:c r="B62" t="str">
        <x:v>B M Trade Links</x:v>
      </x:c>
      <x:c r="C62" t="str">
        <x:v>NA/5147/25-26</x:v>
      </x:c>
      <x:c r="D62" s="7" t="n">
        <x:v>84</x:v>
      </x:c>
      <x:c r="E62" s="6" t="n">
        <x:v>46074</x:v>
      </x:c>
      <x:c r="F62" t="n">
        <x:f>TODAY()-E62</x:f>
        <x:v>161</x:v>
      </x:c>
      <x:c r="G62" s="7" t="n">
        <x:f>SUMIF($B$5:$B$563,B62,$D$5:$D$563)</x:f>
        <x:v>23286</x:v>
      </x:c>
    </x:row>
    <x:row r="63">
      <x:c r="A63" s="6" t="n">
        <x:v>46074</x:v>
      </x:c>
      <x:c r="B63" t="str">
        <x:v>Sri Meenakshi Hardware and Tools</x:v>
      </x:c>
      <x:c r="C63" t="str">
        <x:v>NA/5150/25-26</x:v>
      </x:c>
      <x:c r="D63" s="7" t="n">
        <x:v>158</x:v>
      </x:c>
      <x:c r="E63" s="6" t="n">
        <x:v>46074</x:v>
      </x:c>
      <x:c r="F63" t="n">
        <x:f>TODAY()-E63</x:f>
        <x:v>161</x:v>
      </x:c>
      <x:c r="G63" s="7" t="n">
        <x:f>SUMIF($B$5:$B$563,B63,$D$5:$D$563)</x:f>
        <x:v>158534</x:v>
      </x:c>
    </x:row>
    <x:row r="64">
      <x:c r="A64" s="6" t="n">
        <x:v>46074</x:v>
      </x:c>
      <x:c r="B64" t="str">
        <x:v>TRUE VALUE SHOES AND SAFETY</x:v>
      </x:c>
      <x:c r="C64" t="str">
        <x:v>NA/5156/25-26</x:v>
      </x:c>
      <x:c r="D64" s="7" t="n">
        <x:v>3570</x:v>
      </x:c>
      <x:c r="E64" s="6" t="n">
        <x:v>46074</x:v>
      </x:c>
      <x:c r="F64" t="n">
        <x:f>TODAY()-E64</x:f>
        <x:v>161</x:v>
      </x:c>
      <x:c r="G64" s="7" t="n">
        <x:f>SUMIF($B$5:$B$563,B64,$D$5:$D$563)</x:f>
        <x:v>68445</x:v>
      </x:c>
    </x:row>
    <x:row r="65">
      <x:c r="A65" s="6" t="n">
        <x:v>46078</x:v>
      </x:c>
      <x:c r="B65" t="str">
        <x:v>TRUE VALUE SHOES AND SAFETY</x:v>
      </x:c>
      <x:c r="C65" t="str">
        <x:v>NA/5208/25-26</x:v>
      </x:c>
      <x:c r="D65" s="7" t="n">
        <x:v>1339</x:v>
      </x:c>
      <x:c r="E65" s="6" t="n">
        <x:v>46078</x:v>
      </x:c>
      <x:c r="F65" t="n">
        <x:f>TODAY()-E65</x:f>
        <x:v>157</x:v>
      </x:c>
      <x:c r="G65" s="7" t="n">
        <x:f>SUMIF($B$5:$B$563,B65,$D$5:$D$563)</x:f>
        <x:v>68445</x:v>
      </x:c>
    </x:row>
    <x:row r="66">
      <x:c r="A66" s="6" t="n">
        <x:v>46079</x:v>
      </x:c>
      <x:c r="B66" t="str">
        <x:v>SSTG TECHNOLOGIES INDIA PRIVATE LIMITED</x:v>
      </x:c>
      <x:c r="C66" t="str">
        <x:v>NA/5225/25-26</x:v>
      </x:c>
      <x:c r="D66" s="7" t="n">
        <x:v>2418</x:v>
      </x:c>
      <x:c r="E66" s="6" t="n">
        <x:v>46079</x:v>
      </x:c>
      <x:c r="F66" t="n">
        <x:f>TODAY()-E66</x:f>
        <x:v>156</x:v>
      </x:c>
      <x:c r="G66" s="7" t="n">
        <x:f>SUMIF($B$5:$B$563,B66,$D$5:$D$563)</x:f>
        <x:v>109542</x:v>
      </x:c>
    </x:row>
    <x:row r="67">
      <x:c r="A67" s="6" t="n">
        <x:v>46079</x:v>
      </x:c>
      <x:c r="B67" t="str">
        <x:v>TRUE VALUE SHOES AND SAFETY</x:v>
      </x:c>
      <x:c r="C67" t="str">
        <x:v>NA/5224/25-26</x:v>
      </x:c>
      <x:c r="D67" s="7" t="n">
        <x:v>4640</x:v>
      </x:c>
      <x:c r="E67" s="6" t="n">
        <x:v>46079</x:v>
      </x:c>
      <x:c r="F67" t="n">
        <x:f>TODAY()-E67</x:f>
        <x:v>156</x:v>
      </x:c>
      <x:c r="G67" s="7" t="n">
        <x:f>SUMIF($B$5:$B$563,B67,$D$5:$D$563)</x:f>
        <x:v>68445</x:v>
      </x:c>
    </x:row>
    <x:row r="68">
      <x:c r="A68" s="6" t="n">
        <x:v>46079</x:v>
      </x:c>
      <x:c r="B68" t="str">
        <x:v>TRUE VALUE SHOES AND SAFETY</x:v>
      </x:c>
      <x:c r="C68" t="str">
        <x:v>NA/5226/25-26</x:v>
      </x:c>
      <x:c r="D68" s="7" t="n">
        <x:v>180</x:v>
      </x:c>
      <x:c r="E68" s="6" t="n">
        <x:v>46079</x:v>
      </x:c>
      <x:c r="F68" t="n">
        <x:f>TODAY()-E68</x:f>
        <x:v>156</x:v>
      </x:c>
      <x:c r="G68" s="7" t="n">
        <x:f>SUMIF($B$5:$B$563,B68,$D$5:$D$563)</x:f>
        <x:v>68445</x:v>
      </x:c>
    </x:row>
    <x:row r="69">
      <x:c r="A69" s="6" t="n">
        <x:v>46080</x:v>
      </x:c>
      <x:c r="B69" t="str">
        <x:v>Sri Meenakshi Hardware and Tools</x:v>
      </x:c>
      <x:c r="C69" t="str">
        <x:v>NA/5246/25-26</x:v>
      </x:c>
      <x:c r="D69" s="7" t="n">
        <x:v>850</x:v>
      </x:c>
      <x:c r="E69" s="6" t="n">
        <x:v>46080</x:v>
      </x:c>
      <x:c r="F69" t="n">
        <x:f>TODAY()-E69</x:f>
        <x:v>155</x:v>
      </x:c>
      <x:c r="G69" s="7" t="n">
        <x:f>SUMIF($B$5:$B$563,B69,$D$5:$D$563)</x:f>
        <x:v>158534</x:v>
      </x:c>
    </x:row>
    <x:row r="70">
      <x:c r="A70" s="6" t="n">
        <x:v>46080</x:v>
      </x:c>
      <x:c r="B70" t="str">
        <x:v>SSTG TECHNOLOGIES INDIA PRIVATE LIMITED</x:v>
      </x:c>
      <x:c r="C70" t="str">
        <x:v>NA/5233/25-26</x:v>
      </x:c>
      <x:c r="D70" s="7" t="n">
        <x:v>9867</x:v>
      </x:c>
      <x:c r="E70" s="6" t="n">
        <x:v>46080</x:v>
      </x:c>
      <x:c r="F70" t="n">
        <x:f>TODAY()-E70</x:f>
        <x:v>155</x:v>
      </x:c>
      <x:c r="G70" s="7" t="n">
        <x:f>SUMIF($B$5:$B$563,B70,$D$5:$D$563)</x:f>
        <x:v>109542</x:v>
      </x:c>
    </x:row>
    <x:row r="71">
      <x:c r="A71" s="6" t="n">
        <x:v>46081</x:v>
      </x:c>
      <x:c r="B71" t="str">
        <x:v>Burhani Traders</x:v>
      </x:c>
      <x:c r="C71" t="str">
        <x:v>NA/5262/25-26</x:v>
      </x:c>
      <x:c r="D71" s="7" t="n">
        <x:v>2360</x:v>
      </x:c>
      <x:c r="E71" s="6" t="n">
        <x:v>46081</x:v>
      </x:c>
      <x:c r="F71" t="n">
        <x:f>TODAY()-E71</x:f>
        <x:v>154</x:v>
      </x:c>
      <x:c r="G71" s="7" t="n">
        <x:f>SUMIF($B$5:$B$563,B71,$D$5:$D$563)</x:f>
        <x:v>238111</x:v>
      </x:c>
    </x:row>
    <x:row r="72">
      <x:c r="A72" s="6" t="n">
        <x:v>46081</x:v>
      </x:c>
      <x:c r="B72" t="str">
        <x:v>Sri Meenakshi Hardware and Tools</x:v>
      </x:c>
      <x:c r="C72" t="str">
        <x:v>NA/5276/25-26</x:v>
      </x:c>
      <x:c r="D72" s="7" t="n">
        <x:v>5650</x:v>
      </x:c>
      <x:c r="E72" s="6" t="n">
        <x:v>46081</x:v>
      </x:c>
      <x:c r="F72" t="n">
        <x:f>TODAY()-E72</x:f>
        <x:v>154</x:v>
      </x:c>
      <x:c r="G72" s="7" t="n">
        <x:f>SUMIF($B$5:$B$563,B72,$D$5:$D$563)</x:f>
        <x:v>158534</x:v>
      </x:c>
    </x:row>
    <x:row r="73">
      <x:c r="A73" s="6" t="n">
        <x:v>46081</x:v>
      </x:c>
      <x:c r="B73" t="str">
        <x:v>TRUE VALUE SHOES AND SAFETY</x:v>
      </x:c>
      <x:c r="C73" t="str">
        <x:v>NA/5250/25-26</x:v>
      </x:c>
      <x:c r="D73" s="7" t="n">
        <x:v>1250</x:v>
      </x:c>
      <x:c r="E73" s="6" t="n">
        <x:v>46081</x:v>
      </x:c>
      <x:c r="F73" t="n">
        <x:f>TODAY()-E73</x:f>
        <x:v>154</x:v>
      </x:c>
      <x:c r="G73" s="7" t="n">
        <x:f>SUMIF($B$5:$B$563,B73,$D$5:$D$563)</x:f>
        <x:v>68445</x:v>
      </x:c>
    </x:row>
    <x:row r="74">
      <x:c r="A74" s="6" t="n">
        <x:v>46083</x:v>
      </x:c>
      <x:c r="B74" t="str">
        <x:v>Taher Enterprises</x:v>
      </x:c>
      <x:c r="C74" t="str">
        <x:v>NA/5277/25-26</x:v>
      </x:c>
      <x:c r="D74" s="7" t="n">
        <x:v>1083</x:v>
      </x:c>
      <x:c r="E74" s="6" t="n">
        <x:v>46083</x:v>
      </x:c>
      <x:c r="F74" t="n">
        <x:f>TODAY()-E74</x:f>
        <x:v>152</x:v>
      </x:c>
      <x:c r="G74" s="7" t="n">
        <x:f>SUMIF($B$5:$B$563,B74,$D$5:$D$563)</x:f>
        <x:v>22615</x:v>
      </x:c>
    </x:row>
    <x:row r="75">
      <x:c r="A75" s="6" t="n">
        <x:v>46084</x:v>
      </x:c>
      <x:c r="B75" t="str">
        <x:v>TRUE VALUE SHOES AND SAFETY</x:v>
      </x:c>
      <x:c r="C75" t="str">
        <x:v>NA/5300/25-26</x:v>
      </x:c>
      <x:c r="D75" s="7" t="n">
        <x:v>3588</x:v>
      </x:c>
      <x:c r="E75" s="6" t="n">
        <x:v>46084</x:v>
      </x:c>
      <x:c r="F75" t="n">
        <x:f>TODAY()-E75</x:f>
        <x:v>151</x:v>
      </x:c>
      <x:c r="G75" s="7" t="n">
        <x:f>SUMIF($B$5:$B$563,B75,$D$5:$D$563)</x:f>
        <x:v>68445</x:v>
      </x:c>
    </x:row>
    <x:row r="76">
      <x:c r="A76" s="6" t="n">
        <x:v>46085</x:v>
      </x:c>
      <x:c r="B76" t="str">
        <x:v>Burhani Traders</x:v>
      </x:c>
      <x:c r="C76" t="str">
        <x:v>NA/5310/25-26</x:v>
      </x:c>
      <x:c r="D76" s="7" t="n">
        <x:v>17037</x:v>
      </x:c>
      <x:c r="E76" s="6" t="n">
        <x:v>46085</x:v>
      </x:c>
      <x:c r="F76" t="n">
        <x:f>TODAY()-E76</x:f>
        <x:v>150</x:v>
      </x:c>
      <x:c r="G76" s="7" t="n">
        <x:f>SUMIF($B$5:$B$563,B76,$D$5:$D$563)</x:f>
        <x:v>238111</x:v>
      </x:c>
    </x:row>
    <x:row r="77">
      <x:c r="A77" s="6" t="n">
        <x:v>46086</x:v>
      </x:c>
      <x:c r="B77" t="str">
        <x:v>Burhani Traders</x:v>
      </x:c>
      <x:c r="C77" t="str">
        <x:v>NA/5313/25-26</x:v>
      </x:c>
      <x:c r="D77" s="7" t="n">
        <x:v>2107</x:v>
      </x:c>
      <x:c r="E77" s="6" t="n">
        <x:v>46086</x:v>
      </x:c>
      <x:c r="F77" t="n">
        <x:f>TODAY()-E77</x:f>
        <x:v>149</x:v>
      </x:c>
      <x:c r="G77" s="7" t="n">
        <x:f>SUMIF($B$5:$B$563,B77,$D$5:$D$563)</x:f>
        <x:v>238111</x:v>
      </x:c>
    </x:row>
    <x:row r="78">
      <x:c r="A78" s="6" t="n">
        <x:v>46086</x:v>
      </x:c>
      <x:c r="B78" t="str">
        <x:v>Quadari Enterprises</x:v>
      </x:c>
      <x:c r="C78" t="str">
        <x:v>NA/5315/25-26</x:v>
      </x:c>
      <x:c r="D78" s="7" t="n">
        <x:v>207</x:v>
      </x:c>
      <x:c r="E78" s="6" t="n">
        <x:v>46086</x:v>
      </x:c>
      <x:c r="F78" t="n">
        <x:f>TODAY()-E78</x:f>
        <x:v>149</x:v>
      </x:c>
      <x:c r="G78" s="7" t="n">
        <x:f>SUMIF($B$5:$B$563,B78,$D$5:$D$563)</x:f>
        <x:v>58985</x:v>
      </x:c>
    </x:row>
    <x:row r="79">
      <x:c r="A79" s="6" t="n">
        <x:v>46086</x:v>
      </x:c>
      <x:c r="B79" t="str">
        <x:v>SSTG TECHNOLOGIES INDIA PRIVATE LIMITED</x:v>
      </x:c>
      <x:c r="C79" t="str">
        <x:v>NA/5322/25-26</x:v>
      </x:c>
      <x:c r="D79" s="7" t="n">
        <x:v>350</x:v>
      </x:c>
      <x:c r="E79" s="6" t="n">
        <x:v>46086</x:v>
      </x:c>
      <x:c r="F79" t="n">
        <x:f>TODAY()-E79</x:f>
        <x:v>149</x:v>
      </x:c>
      <x:c r="G79" s="7" t="n">
        <x:f>SUMIF($B$5:$B$563,B79,$D$5:$D$563)</x:f>
        <x:v>109542</x:v>
      </x:c>
    </x:row>
    <x:row r="80">
      <x:c r="A80" s="6" t="n">
        <x:v>46087</x:v>
      </x:c>
      <x:c r="B80" t="str">
        <x:v>GOOD LUCK INDUSTRIALS ACCESSORIES</x:v>
      </x:c>
      <x:c r="C80" t="str">
        <x:v>NA/5335/25-26</x:v>
      </x:c>
      <x:c r="D80" s="7" t="n">
        <x:v>9828</x:v>
      </x:c>
      <x:c r="E80" s="6" t="n">
        <x:v>46087</x:v>
      </x:c>
      <x:c r="F80" t="n">
        <x:f>TODAY()-E80</x:f>
        <x:v>148</x:v>
      </x:c>
      <x:c r="G80" s="7" t="n">
        <x:f>SUMIF($B$5:$B$563,B80,$D$5:$D$563)</x:f>
        <x:v>9828</x:v>
      </x:c>
    </x:row>
    <x:row r="81">
      <x:c r="A81" s="6" t="n">
        <x:v>46088</x:v>
      </x:c>
      <x:c r="B81" t="str">
        <x:v>B M Trade Links</x:v>
      </x:c>
      <x:c r="C81" t="str">
        <x:v>NA/5361/25-26</x:v>
      </x:c>
      <x:c r="D81" s="7" t="n">
        <x:v>1407</x:v>
      </x:c>
      <x:c r="E81" s="6" t="n">
        <x:v>46088</x:v>
      </x:c>
      <x:c r="F81" t="n">
        <x:f>TODAY()-E81</x:f>
        <x:v>147</x:v>
      </x:c>
      <x:c r="G81" s="7" t="n">
        <x:f>SUMIF($B$5:$B$563,B81,$D$5:$D$563)</x:f>
        <x:v>23286</x:v>
      </x:c>
    </x:row>
    <x:row r="82">
      <x:c r="A82" s="6" t="n">
        <x:v>46088</x:v>
      </x:c>
      <x:c r="B82" t="str">
        <x:v>Quadari Enterprises</x:v>
      </x:c>
      <x:c r="C82" t="str">
        <x:v>NA/5368/25-26</x:v>
      </x:c>
      <x:c r="D82" s="7" t="n">
        <x:v>410</x:v>
      </x:c>
      <x:c r="E82" s="6" t="n">
        <x:v>46088</x:v>
      </x:c>
      <x:c r="F82" t="n">
        <x:f>TODAY()-E82</x:f>
        <x:v>147</x:v>
      </x:c>
      <x:c r="G82" s="7" t="n">
        <x:f>SUMIF($B$5:$B$563,B82,$D$5:$D$563)</x:f>
        <x:v>58985</x:v>
      </x:c>
    </x:row>
    <x:row r="83">
      <x:c r="A83" s="6" t="n">
        <x:v>46090</x:v>
      </x:c>
      <x:c r="B83" t="str">
        <x:v>SSTG TECHNOLOGIES INDIA PRIVATE LIMITED</x:v>
      </x:c>
      <x:c r="C83" t="str">
        <x:v>NA/5384/25-26</x:v>
      </x:c>
      <x:c r="D83" s="7" t="n">
        <x:v>3044</x:v>
      </x:c>
      <x:c r="E83" s="6" t="n">
        <x:v>46090</x:v>
      </x:c>
      <x:c r="F83" t="n">
        <x:f>TODAY()-E83</x:f>
        <x:v>145</x:v>
      </x:c>
      <x:c r="G83" s="7" t="n">
        <x:f>SUMIF($B$5:$B$563,B83,$D$5:$D$563)</x:f>
        <x:v>109542</x:v>
      </x:c>
    </x:row>
    <x:row r="84">
      <x:c r="A84" s="6" t="n">
        <x:v>46091</x:v>
      </x:c>
      <x:c r="B84" t="str">
        <x:v>Unique Wire Ropes &amp; Tackles</x:v>
      </x:c>
      <x:c r="C84" t="str">
        <x:v>NA/5388/25-26</x:v>
      </x:c>
      <x:c r="D84" s="7" t="n">
        <x:v>8446</x:v>
      </x:c>
      <x:c r="E84" s="6" t="n">
        <x:v>46091</x:v>
      </x:c>
      <x:c r="F84" t="n">
        <x:f>TODAY()-E84</x:f>
        <x:v>144</x:v>
      </x:c>
      <x:c r="G84" s="7" t="n">
        <x:f>SUMIF($B$5:$B$563,B84,$D$5:$D$563)</x:f>
        <x:v>86975</x:v>
      </x:c>
    </x:row>
    <x:row r="85">
      <x:c r="A85" s="6" t="n">
        <x:v>46092</x:v>
      </x:c>
      <x:c r="B85" t="str">
        <x:v>Quadari Enterprises</x:v>
      </x:c>
      <x:c r="C85" t="str">
        <x:v>NA/5417/25-26</x:v>
      </x:c>
      <x:c r="D85" s="7" t="n">
        <x:v>9214</x:v>
      </x:c>
      <x:c r="E85" s="6" t="n">
        <x:v>46092</x:v>
      </x:c>
      <x:c r="F85" t="n">
        <x:f>TODAY()-E85</x:f>
        <x:v>143</x:v>
      </x:c>
      <x:c r="G85" s="7" t="n">
        <x:f>SUMIF($B$5:$B$563,B85,$D$5:$D$563)</x:f>
        <x:v>58985</x:v>
      </x:c>
    </x:row>
    <x:row r="86">
      <x:c r="A86" s="6" t="n">
        <x:v>46093</x:v>
      </x:c>
      <x:c r="B86" t="str">
        <x:v>SSTG TECHNOLOGIES INDIA PRIVATE LIMITED</x:v>
      </x:c>
      <x:c r="C86" t="str">
        <x:v>NA/5429/25-26</x:v>
      </x:c>
      <x:c r="D86" s="7" t="n">
        <x:v>2100</x:v>
      </x:c>
      <x:c r="E86" s="6" t="n">
        <x:v>46093</x:v>
      </x:c>
      <x:c r="F86" t="n">
        <x:f>TODAY()-E86</x:f>
        <x:v>142</x:v>
      </x:c>
      <x:c r="G86" s="7" t="n">
        <x:f>SUMIF($B$5:$B$563,B86,$D$5:$D$563)</x:f>
        <x:v>109542</x:v>
      </x:c>
    </x:row>
    <x:row r="87">
      <x:c r="A87" s="6" t="n">
        <x:v>46093</x:v>
      </x:c>
      <x:c r="B87" t="str">
        <x:v>Taher Enterprises</x:v>
      </x:c>
      <x:c r="C87" t="str">
        <x:v>NA/5427/25-26</x:v>
      </x:c>
      <x:c r="D87" s="7" t="n">
        <x:v>2630</x:v>
      </x:c>
      <x:c r="E87" s="6" t="n">
        <x:v>46093</x:v>
      </x:c>
      <x:c r="F87" t="n">
        <x:f>TODAY()-E87</x:f>
        <x:v>142</x:v>
      </x:c>
      <x:c r="G87" s="7" t="n">
        <x:f>SUMIF($B$5:$B$563,B87,$D$5:$D$563)</x:f>
        <x:v>22615</x:v>
      </x:c>
    </x:row>
    <x:row r="88">
      <x:c r="A88" s="6" t="n">
        <x:v>46095</x:v>
      </x:c>
      <x:c r="B88" t="str">
        <x:v>Burhani Traders</x:v>
      </x:c>
      <x:c r="C88" t="str">
        <x:v>NA/5474/25-26</x:v>
      </x:c>
      <x:c r="D88" s="7" t="n">
        <x:v>2385</x:v>
      </x:c>
      <x:c r="E88" s="6" t="n">
        <x:v>46095</x:v>
      </x:c>
      <x:c r="F88" t="n">
        <x:f>TODAY()-E88</x:f>
        <x:v>140</x:v>
      </x:c>
      <x:c r="G88" s="7" t="n">
        <x:f>SUMIF($B$5:$B$563,B88,$D$5:$D$563)</x:f>
        <x:v>238111</x:v>
      </x:c>
    </x:row>
    <x:row r="89">
      <x:c r="A89" s="6" t="n">
        <x:v>46095</x:v>
      </x:c>
      <x:c r="B89" t="str">
        <x:v>SSTG TECHNOLOGIES INDIA PRIVATE LIMITED</x:v>
      </x:c>
      <x:c r="C89" t="str">
        <x:v>NA/5460/25-26</x:v>
      </x:c>
      <x:c r="D89" s="7" t="n">
        <x:v>9122</x:v>
      </x:c>
      <x:c r="E89" s="6" t="n">
        <x:v>46095</x:v>
      </x:c>
      <x:c r="F89" t="n">
        <x:f>TODAY()-E89</x:f>
        <x:v>140</x:v>
      </x:c>
      <x:c r="G89" s="7" t="n">
        <x:f>SUMIF($B$5:$B$563,B89,$D$5:$D$563)</x:f>
        <x:v>109542</x:v>
      </x:c>
    </x:row>
    <x:row r="90">
      <x:c r="A90" s="6" t="n">
        <x:v>46098</x:v>
      </x:c>
      <x:c r="B90" t="str">
        <x:v>Sri Meenakshi Hardware and Tools</x:v>
      </x:c>
      <x:c r="C90" t="str">
        <x:v>NA/5505/25-26</x:v>
      </x:c>
      <x:c r="D90" s="7" t="n">
        <x:v>2500</x:v>
      </x:c>
      <x:c r="E90" s="6" t="n">
        <x:v>46098</x:v>
      </x:c>
      <x:c r="F90" t="n">
        <x:f>TODAY()-E90</x:f>
        <x:v>137</x:v>
      </x:c>
      <x:c r="G90" s="7" t="n">
        <x:f>SUMIF($B$5:$B$563,B90,$D$5:$D$563)</x:f>
        <x:v>158534</x:v>
      </x:c>
    </x:row>
    <x:row r="91">
      <x:c r="A91" s="6" t="n">
        <x:v>46099</x:v>
      </x:c>
      <x:c r="B91" t="str">
        <x:v>SSTG TECHNOLOGIES INDIA PRIVATE LIMITED</x:v>
      </x:c>
      <x:c r="C91" t="str">
        <x:v>NA/5517/25-26</x:v>
      </x:c>
      <x:c r="D91" s="7" t="n">
        <x:v>5931</x:v>
      </x:c>
      <x:c r="E91" s="6" t="n">
        <x:v>46099</x:v>
      </x:c>
      <x:c r="F91" t="n">
        <x:f>TODAY()-E91</x:f>
        <x:v>136</x:v>
      </x:c>
      <x:c r="G91" s="7" t="n">
        <x:f>SUMIF($B$5:$B$563,B91,$D$5:$D$563)</x:f>
        <x:v>109542</x:v>
      </x:c>
    </x:row>
    <x:row r="92">
      <x:c r="A92" s="6" t="n">
        <x:v>46100</x:v>
      </x:c>
      <x:c r="B92" t="str">
        <x:v>SSTG TECHNOLOGIES INDIA PRIVATE LIMITED</x:v>
      </x:c>
      <x:c r="C92" t="str">
        <x:v>NA/5538/25-26</x:v>
      </x:c>
      <x:c r="D92" s="7" t="n">
        <x:v>12100</x:v>
      </x:c>
      <x:c r="E92" s="6" t="n">
        <x:v>46100</x:v>
      </x:c>
      <x:c r="F92" t="n">
        <x:f>TODAY()-E92</x:f>
        <x:v>135</x:v>
      </x:c>
      <x:c r="G92" s="7" t="n">
        <x:f>SUMIF($B$5:$B$563,B92,$D$5:$D$563)</x:f>
        <x:v>109542</x:v>
      </x:c>
    </x:row>
    <x:row r="93">
      <x:c r="A93" s="6" t="n">
        <x:v>46102</x:v>
      </x:c>
      <x:c r="B93" t="str">
        <x:v>Alif Traders</x:v>
      </x:c>
      <x:c r="C93" t="str">
        <x:v>NA/5582/25-26</x:v>
      </x:c>
      <x:c r="D93" s="7" t="n">
        <x:v>44180</x:v>
      </x:c>
      <x:c r="E93" s="6" t="n">
        <x:v>46102</x:v>
      </x:c>
      <x:c r="F93" t="n">
        <x:f>TODAY()-E93</x:f>
        <x:v>133</x:v>
      </x:c>
      <x:c r="G93" s="7" t="n">
        <x:f>SUMIF($B$5:$B$563,B93,$D$5:$D$563)</x:f>
        <x:v>119404</x:v>
      </x:c>
    </x:row>
    <x:row r="94">
      <x:c r="A94" s="6" t="n">
        <x:v>46102</x:v>
      </x:c>
      <x:c r="B94" t="str">
        <x:v>B M Trade Links</x:v>
      </x:c>
      <x:c r="C94" t="str">
        <x:v>NA/5581/25-26</x:v>
      </x:c>
      <x:c r="D94" s="7" t="n">
        <x:v>840</x:v>
      </x:c>
      <x:c r="E94" s="6" t="n">
        <x:v>46102</x:v>
      </x:c>
      <x:c r="F94" t="n">
        <x:f>TODAY()-E94</x:f>
        <x:v>133</x:v>
      </x:c>
      <x:c r="G94" s="7" t="n">
        <x:f>SUMIF($B$5:$B$563,B94,$D$5:$D$563)</x:f>
        <x:v>23286</x:v>
      </x:c>
    </x:row>
    <x:row r="95">
      <x:c r="A95" s="6" t="n">
        <x:v>46102</x:v>
      </x:c>
      <x:c r="B95" t="str">
        <x:v>Burhani Traders</x:v>
      </x:c>
      <x:c r="C95" t="str">
        <x:v>NA/5585/25-26</x:v>
      </x:c>
      <x:c r="D95" s="7" t="n">
        <x:v>10000</x:v>
      </x:c>
      <x:c r="E95" s="6" t="n">
        <x:v>46102</x:v>
      </x:c>
      <x:c r="F95" t="n">
        <x:f>TODAY()-E95</x:f>
        <x:v>133</x:v>
      </x:c>
      <x:c r="G95" s="7" t="n">
        <x:f>SUMIF($B$5:$B$563,B95,$D$5:$D$563)</x:f>
        <x:v>238111</x:v>
      </x:c>
    </x:row>
    <x:row r="96">
      <x:c r="A96" s="6" t="n">
        <x:v>46102</x:v>
      </x:c>
      <x:c r="B96" t="str">
        <x:v>IntegratedConveyors&amp;PaclineAutomationTechnologies</x:v>
      </x:c>
      <x:c r="C96" t="str">
        <x:v>NA/5565/25-26</x:v>
      </x:c>
      <x:c r="D96" s="7" t="n">
        <x:v>5900</x:v>
      </x:c>
      <x:c r="E96" s="6" t="n">
        <x:v>46102</x:v>
      </x:c>
      <x:c r="F96" t="n">
        <x:f>TODAY()-E96</x:f>
        <x:v>133</x:v>
      </x:c>
      <x:c r="G96" s="7" t="n">
        <x:f>SUMIF($B$5:$B$563,B96,$D$5:$D$563)</x:f>
        <x:v>78587</x:v>
      </x:c>
    </x:row>
    <x:row r="97">
      <x:c r="A97" s="6" t="n">
        <x:v>46102</x:v>
      </x:c>
      <x:c r="B97" t="str">
        <x:v>Sri Meenakshi Hardware and Tools</x:v>
      </x:c>
      <x:c r="C97" t="str">
        <x:v>NA/5584/25-26</x:v>
      </x:c>
      <x:c r="D97" s="7" t="n">
        <x:v>2880</x:v>
      </x:c>
      <x:c r="E97" s="6" t="n">
        <x:v>46102</x:v>
      </x:c>
      <x:c r="F97" t="n">
        <x:f>TODAY()-E97</x:f>
        <x:v>133</x:v>
      </x:c>
      <x:c r="G97" s="7" t="n">
        <x:f>SUMIF($B$5:$B$563,B97,$D$5:$D$563)</x:f>
        <x:v>158534</x:v>
      </x:c>
    </x:row>
    <x:row r="98">
      <x:c r="A98" s="6" t="n">
        <x:v>46104</x:v>
      </x:c>
      <x:c r="B98" t="str">
        <x:v>SHABIS ENTERPRISES</x:v>
      </x:c>
      <x:c r="C98" t="str">
        <x:v>NA/5599/25-26</x:v>
      </x:c>
      <x:c r="D98" s="7" t="n">
        <x:v>7800</x:v>
      </x:c>
      <x:c r="E98" s="6" t="n">
        <x:v>46104</x:v>
      </x:c>
      <x:c r="F98" t="n">
        <x:f>TODAY()-E98</x:f>
        <x:v>131</x:v>
      </x:c>
      <x:c r="G98" s="7" t="n">
        <x:f>SUMIF($B$5:$B$563,B98,$D$5:$D$563)</x:f>
        <x:v>7800</x:v>
      </x:c>
    </x:row>
    <x:row r="99">
      <x:c r="A99" s="6" t="n">
        <x:v>46105</x:v>
      </x:c>
      <x:c r="B99" t="str">
        <x:v>SSTG TECHNOLOGIES INDIA PRIVATE LIMITED</x:v>
      </x:c>
      <x:c r="C99" t="str">
        <x:v>NA/5630/25-26</x:v>
      </x:c>
      <x:c r="D99" s="7" t="n">
        <x:v>1315</x:v>
      </x:c>
      <x:c r="E99" s="6" t="n">
        <x:v>46105</x:v>
      </x:c>
      <x:c r="F99" t="n">
        <x:f>TODAY()-E99</x:f>
        <x:v>130</x:v>
      </x:c>
      <x:c r="G99" s="7" t="n">
        <x:f>SUMIF($B$5:$B$563,B99,$D$5:$D$563)</x:f>
        <x:v>109542</x:v>
      </x:c>
    </x:row>
    <x:row r="100">
      <x:c r="A100" s="6" t="n">
        <x:v>46106</x:v>
      </x:c>
      <x:c r="B100" t="str">
        <x:v>SSTG TECHNOLOGIES INDIA PRIVATE LIMITED</x:v>
      </x:c>
      <x:c r="C100" t="str">
        <x:v>NA/5644/25-26</x:v>
      </x:c>
      <x:c r="D100" s="7" t="n">
        <x:v>4680</x:v>
      </x:c>
      <x:c r="E100" s="6" t="n">
        <x:v>46106</x:v>
      </x:c>
      <x:c r="F100" t="n">
        <x:f>TODAY()-E100</x:f>
        <x:v>129</x:v>
      </x:c>
      <x:c r="G100" s="7" t="n">
        <x:f>SUMIF($B$5:$B$563,B100,$D$5:$D$563)</x:f>
        <x:v>109542</x:v>
      </x:c>
    </x:row>
    <x:row r="101">
      <x:c r="A101" s="6" t="n">
        <x:v>46109</x:v>
      </x:c>
      <x:c r="B101" t="str">
        <x:v>Alif Traders</x:v>
      </x:c>
      <x:c r="C101" t="str">
        <x:v>NA/5695/25-26</x:v>
      </x:c>
      <x:c r="D101" s="7" t="n">
        <x:v>249</x:v>
      </x:c>
      <x:c r="E101" s="6" t="n">
        <x:v>46109</x:v>
      </x:c>
      <x:c r="F101" t="n">
        <x:f>TODAY()-E101</x:f>
        <x:v>126</x:v>
      </x:c>
      <x:c r="G101" s="7" t="n">
        <x:f>SUMIF($B$5:$B$563,B101,$D$5:$D$563)</x:f>
        <x:v>119404</x:v>
      </x:c>
    </x:row>
    <x:row r="102">
      <x:c r="A102" s="6" t="n">
        <x:v>46109</x:v>
      </x:c>
      <x:c r="B102" t="str">
        <x:v>B M Trade Links</x:v>
      </x:c>
      <x:c r="C102" t="str">
        <x:v>NA/5702/25-26</x:v>
      </x:c>
      <x:c r="D102" s="7" t="n">
        <x:v>3574</x:v>
      </x:c>
      <x:c r="E102" s="6" t="n">
        <x:v>46109</x:v>
      </x:c>
      <x:c r="F102" t="n">
        <x:f>TODAY()-E102</x:f>
        <x:v>126</x:v>
      </x:c>
      <x:c r="G102" s="7" t="n">
        <x:f>SUMIF($B$5:$B$563,B102,$D$5:$D$563)</x:f>
        <x:v>23286</x:v>
      </x:c>
    </x:row>
    <x:row r="103">
      <x:c r="A103" s="6" t="n">
        <x:v>46109</x:v>
      </x:c>
      <x:c r="B103" t="str">
        <x:v>Quadari Enterprises</x:v>
      </x:c>
      <x:c r="C103" t="str">
        <x:v>NA/5690/25-26</x:v>
      </x:c>
      <x:c r="D103" s="7" t="n">
        <x:v>223</x:v>
      </x:c>
      <x:c r="E103" s="6" t="n">
        <x:v>46109</x:v>
      </x:c>
      <x:c r="F103" t="n">
        <x:f>TODAY()-E103</x:f>
        <x:v>126</x:v>
      </x:c>
      <x:c r="G103" s="7" t="n">
        <x:f>SUMIF($B$5:$B$563,B103,$D$5:$D$563)</x:f>
        <x:v>58985</x:v>
      </x:c>
    </x:row>
    <x:row r="104">
      <x:c r="A104" s="6" t="n">
        <x:v>46109</x:v>
      </x:c>
      <x:c r="B104" t="str">
        <x:v>Sekar Engineering Works</x:v>
      </x:c>
      <x:c r="C104" t="str">
        <x:v>NA/5685/25-26</x:v>
      </x:c>
      <x:c r="D104" s="7" t="n">
        <x:v>8353</x:v>
      </x:c>
      <x:c r="E104" s="6" t="n">
        <x:v>46109</x:v>
      </x:c>
      <x:c r="F104" t="n">
        <x:f>TODAY()-E104</x:f>
        <x:v>126</x:v>
      </x:c>
      <x:c r="G104" s="7" t="n">
        <x:f>SUMIF($B$5:$B$563,B104,$D$5:$D$563)</x:f>
        <x:v>16423</x:v>
      </x:c>
    </x:row>
    <x:row r="105">
      <x:c r="A105" s="6" t="n">
        <x:v>46109</x:v>
      </x:c>
      <x:c r="B105" t="str">
        <x:v>South Coast Enterprises</x:v>
      </x:c>
      <x:c r="C105" t="str">
        <x:v>NA/5701/25-26</x:v>
      </x:c>
      <x:c r="D105" s="7" t="n">
        <x:v>962</x:v>
      </x:c>
      <x:c r="E105" s="6" t="n">
        <x:v>46109</x:v>
      </x:c>
      <x:c r="F105" t="n">
        <x:f>TODAY()-E105</x:f>
        <x:v>126</x:v>
      </x:c>
      <x:c r="G105" s="7" t="n">
        <x:f>SUMIF($B$5:$B$563,B105,$D$5:$D$563)</x:f>
        <x:v>14037</x:v>
      </x:c>
    </x:row>
    <x:row r="106">
      <x:c r="A106" s="6" t="n">
        <x:v>46109</x:v>
      </x:c>
      <x:c r="B106" t="str">
        <x:v>SSTG TECHNOLOGIES INDIA PRIVATE LIMITED</x:v>
      </x:c>
      <x:c r="C106" t="str">
        <x:v>NA/5708/25-26</x:v>
      </x:c>
      <x:c r="D106" s="7" t="n">
        <x:v>700</x:v>
      </x:c>
      <x:c r="E106" s="6" t="n">
        <x:v>46109</x:v>
      </x:c>
      <x:c r="F106" t="n">
        <x:f>TODAY()-E106</x:f>
        <x:v>126</x:v>
      </x:c>
      <x:c r="G106" s="7" t="n">
        <x:f>SUMIF($B$5:$B$563,B106,$D$5:$D$563)</x:f>
        <x:v>109542</x:v>
      </x:c>
    </x:row>
    <x:row r="107">
      <x:c r="A107" s="6" t="n">
        <x:v>46113</x:v>
      </x:c>
      <x:c r="B107" t="str">
        <x:v>Noor Traders</x:v>
      </x:c>
      <x:c r="C107" t="str">
        <x:v>NA/0001/26-27</x:v>
      </x:c>
      <x:c r="D107" s="7" t="n">
        <x:v>34668</x:v>
      </x:c>
      <x:c r="E107" s="6" t="n">
        <x:v>46113</x:v>
      </x:c>
      <x:c r="F107" t="n">
        <x:f>TODAY()-E107</x:f>
        <x:v>122</x:v>
      </x:c>
      <x:c r="G107" s="7" t="n">
        <x:f>SUMIF($B$5:$B$563,B107,$D$5:$D$563)</x:f>
        <x:v>108563</x:v>
      </x:c>
    </x:row>
    <x:row r="108">
      <x:c r="A108" s="6" t="n">
        <x:v>46114</x:v>
      </x:c>
      <x:c r="B108" t="str">
        <x:v>Associated Hardware &amp; Tools Corporation</x:v>
      </x:c>
      <x:c r="C108" t="str">
        <x:v>NA/0020/26-27</x:v>
      </x:c>
      <x:c r="D108" s="7" t="n">
        <x:v>12600</x:v>
      </x:c>
      <x:c r="E108" s="6" t="n">
        <x:v>46114</x:v>
      </x:c>
      <x:c r="F108" t="n">
        <x:f>TODAY()-E108</x:f>
        <x:v>121</x:v>
      </x:c>
      <x:c r="G108" s="7" t="n">
        <x:f>SUMIF($B$5:$B$563,B108,$D$5:$D$563)</x:f>
        <x:v>41253</x:v>
      </x:c>
    </x:row>
    <x:row r="109">
      <x:c r="A109" s="6" t="n">
        <x:v>46116</x:v>
      </x:c>
      <x:c r="B109" t="str">
        <x:v>Alif Traders</x:v>
      </x:c>
      <x:c r="C109" t="str">
        <x:v>NA/0064/26-27</x:v>
      </x:c>
      <x:c r="D109" s="7" t="n">
        <x:v>13500</x:v>
      </x:c>
      <x:c r="E109" s="6" t="n">
        <x:v>46116</x:v>
      </x:c>
      <x:c r="F109" t="n">
        <x:f>TODAY()-E109</x:f>
        <x:v>119</x:v>
      </x:c>
      <x:c r="G109" s="7" t="n">
        <x:f>SUMIF($B$5:$B$563,B109,$D$5:$D$563)</x:f>
        <x:v>119404</x:v>
      </x:c>
    </x:row>
    <x:row r="110">
      <x:c r="A110" s="6" t="n">
        <x:v>46116</x:v>
      </x:c>
      <x:c r="B110" t="str">
        <x:v>Auto Mech Tools</x:v>
      </x:c>
      <x:c r="C110" t="str">
        <x:v>NA/0051/26-27</x:v>
      </x:c>
      <x:c r="D110" s="7" t="n">
        <x:v>933</x:v>
      </x:c>
      <x:c r="E110" s="6" t="n">
        <x:v>46116</x:v>
      </x:c>
      <x:c r="F110" t="n">
        <x:f>TODAY()-E110</x:f>
        <x:v>119</x:v>
      </x:c>
      <x:c r="G110" s="7" t="n">
        <x:f>SUMIF($B$5:$B$563,B110,$D$5:$D$563)</x:f>
        <x:v>92608</x:v>
      </x:c>
    </x:row>
    <x:row r="111">
      <x:c r="A111" s="6" t="n">
        <x:v>46116</x:v>
      </x:c>
      <x:c r="B111" t="str">
        <x:v>Burhani Traders</x:v>
      </x:c>
      <x:c r="C111" t="str">
        <x:v>NA/0061/26-27</x:v>
      </x:c>
      <x:c r="D111" s="7" t="n">
        <x:v>2640</x:v>
      </x:c>
      <x:c r="E111" s="6" t="n">
        <x:v>46116</x:v>
      </x:c>
      <x:c r="F111" t="n">
        <x:f>TODAY()-E111</x:f>
        <x:v>119</x:v>
      </x:c>
      <x:c r="G111" s="7" t="n">
        <x:f>SUMIF($B$5:$B$563,B111,$D$5:$D$563)</x:f>
        <x:v>238111</x:v>
      </x:c>
    </x:row>
    <x:row r="112">
      <x:c r="A112" s="6" t="n">
        <x:v>46116</x:v>
      </x:c>
      <x:c r="B112" t="str">
        <x:v>Evershine Enterprises</x:v>
      </x:c>
      <x:c r="C112" t="str">
        <x:v>NA/0063/26-27</x:v>
      </x:c>
      <x:c r="D112" s="7" t="n">
        <x:v>5316</x:v>
      </x:c>
      <x:c r="E112" s="6" t="n">
        <x:v>46116</x:v>
      </x:c>
      <x:c r="F112" t="n">
        <x:f>TODAY()-E112</x:f>
        <x:v>119</x:v>
      </x:c>
      <x:c r="G112" s="7" t="n">
        <x:f>SUMIF($B$5:$B$563,B112,$D$5:$D$563)</x:f>
        <x:v>53111</x:v>
      </x:c>
    </x:row>
    <x:row r="113">
      <x:c r="A113" s="6" t="n">
        <x:v>46116</x:v>
      </x:c>
      <x:c r="B113" t="str">
        <x:v>Safeboy Safety Solutions</x:v>
      </x:c>
      <x:c r="C113" t="str">
        <x:v>NA/0067/26-27</x:v>
      </x:c>
      <x:c r="D113" s="7" t="n">
        <x:v>189</x:v>
      </x:c>
      <x:c r="E113" s="6" t="n">
        <x:v>46116</x:v>
      </x:c>
      <x:c r="F113" t="n">
        <x:f>TODAY()-E113</x:f>
        <x:v>119</x:v>
      </x:c>
      <x:c r="G113" s="7" t="n">
        <x:f>SUMIF($B$5:$B$563,B113,$D$5:$D$563)</x:f>
        <x:v>22276</x:v>
      </x:c>
    </x:row>
    <x:row r="114">
      <x:c r="A114" s="6" t="n">
        <x:v>46116</x:v>
      </x:c>
      <x:c r="B114" t="str">
        <x:v>South Coast Enterprises</x:v>
      </x:c>
      <x:c r="C114" t="str">
        <x:v>NA/0065/26-27</x:v>
      </x:c>
      <x:c r="D114" s="7" t="n">
        <x:v>800</x:v>
      </x:c>
      <x:c r="E114" s="6" t="n">
        <x:v>46116</x:v>
      </x:c>
      <x:c r="F114" t="n">
        <x:f>TODAY()-E114</x:f>
        <x:v>119</x:v>
      </x:c>
      <x:c r="G114" s="7" t="n">
        <x:f>SUMIF($B$5:$B$563,B114,$D$5:$D$563)</x:f>
        <x:v>14037</x:v>
      </x:c>
    </x:row>
    <x:row r="115">
      <x:c r="A115" s="6" t="n">
        <x:v>46116</x:v>
      </x:c>
      <x:c r="B115" t="str">
        <x:v>Unique Wire Ropes &amp; Tackles</x:v>
      </x:c>
      <x:c r="C115" t="str">
        <x:v>NA/0069/26-27</x:v>
      </x:c>
      <x:c r="D115" s="7" t="n">
        <x:v>22323</x:v>
      </x:c>
      <x:c r="E115" s="6" t="n">
        <x:v>46116</x:v>
      </x:c>
      <x:c r="F115" t="n">
        <x:f>TODAY()-E115</x:f>
        <x:v>119</x:v>
      </x:c>
      <x:c r="G115" s="7" t="n">
        <x:f>SUMIF($B$5:$B$563,B115,$D$5:$D$563)</x:f>
        <x:v>86975</x:v>
      </x:c>
    </x:row>
    <x:row r="116">
      <x:c r="A116" s="6" t="n">
        <x:v>46118</x:v>
      </x:c>
      <x:c r="B116" t="str">
        <x:v>Burhani Traders</x:v>
      </x:c>
      <x:c r="C116" t="str">
        <x:v>NA/0084/26-27</x:v>
      </x:c>
      <x:c r="D116" s="7" t="n">
        <x:v>4400</x:v>
      </x:c>
      <x:c r="E116" s="6" t="n">
        <x:v>46118</x:v>
      </x:c>
      <x:c r="F116" t="n">
        <x:f>TODAY()-E116</x:f>
        <x:v>117</x:v>
      </x:c>
      <x:c r="G116" s="7" t="n">
        <x:f>SUMIF($B$5:$B$563,B116,$D$5:$D$563)</x:f>
        <x:v>238111</x:v>
      </x:c>
    </x:row>
    <x:row r="117">
      <x:c r="A117" s="6" t="n">
        <x:v>46118</x:v>
      </x:c>
      <x:c r="B117" t="str">
        <x:v>Sri Meenakshi Hardware and Tools</x:v>
      </x:c>
      <x:c r="C117" t="str">
        <x:v>NA/0080/26-27</x:v>
      </x:c>
      <x:c r="D117" s="7" t="n">
        <x:v>2945</x:v>
      </x:c>
      <x:c r="E117" s="6" t="n">
        <x:v>46118</x:v>
      </x:c>
      <x:c r="F117" t="n">
        <x:f>TODAY()-E117</x:f>
        <x:v>117</x:v>
      </x:c>
      <x:c r="G117" s="7" t="n">
        <x:f>SUMIF($B$5:$B$563,B117,$D$5:$D$563)</x:f>
        <x:v>158534</x:v>
      </x:c>
    </x:row>
    <x:row r="118">
      <x:c r="A118" s="6" t="n">
        <x:v>46119</x:v>
      </x:c>
      <x:c r="B118" t="str">
        <x:v>SAMRAT TOOLS CENTRE</x:v>
      </x:c>
      <x:c r="C118" t="str">
        <x:v>NA/0100/26-27</x:v>
      </x:c>
      <x:c r="D118" s="7" t="n">
        <x:v>880</x:v>
      </x:c>
      <x:c r="E118" s="6" t="n">
        <x:v>46119</x:v>
      </x:c>
      <x:c r="F118" t="n">
        <x:f>TODAY()-E118</x:f>
        <x:v>116</x:v>
      </x:c>
      <x:c r="G118" s="7" t="n">
        <x:f>SUMIF($B$5:$B$563,B118,$D$5:$D$563)</x:f>
        <x:v>11900</x:v>
      </x:c>
    </x:row>
    <x:row r="119">
      <x:c r="A119" s="6" t="n">
        <x:v>46119</x:v>
      </x:c>
      <x:c r="B119" t="str">
        <x:v>Sri Meenakshi Hardware and Tools</x:v>
      </x:c>
      <x:c r="C119" t="str">
        <x:v>NA/0097/26-27</x:v>
      </x:c>
      <x:c r="D119" s="7" t="n">
        <x:v>2800</x:v>
      </x:c>
      <x:c r="E119" s="6" t="n">
        <x:v>46119</x:v>
      </x:c>
      <x:c r="F119" t="n">
        <x:f>TODAY()-E119</x:f>
        <x:v>116</x:v>
      </x:c>
      <x:c r="G119" s="7" t="n">
        <x:f>SUMIF($B$5:$B$563,B119,$D$5:$D$563)</x:f>
        <x:v>158534</x:v>
      </x:c>
    </x:row>
    <x:row r="120">
      <x:c r="A120" s="6" t="n">
        <x:v>46120</x:v>
      </x:c>
      <x:c r="B120" t="str">
        <x:v>Argo Hytos Pvt.Ltd</x:v>
      </x:c>
      <x:c r="C120" t="str">
        <x:v>NA/0122/26-27</x:v>
      </x:c>
      <x:c r="D120" s="7" t="n">
        <x:v>6138</x:v>
      </x:c>
      <x:c r="E120" s="6" t="n">
        <x:v>46120</x:v>
      </x:c>
      <x:c r="F120" t="n">
        <x:f>TODAY()-E120</x:f>
        <x:v>115</x:v>
      </x:c>
      <x:c r="G120" s="7" t="n">
        <x:f>SUMIF($B$5:$B$563,B120,$D$5:$D$563)</x:f>
        <x:v>52708</x:v>
      </x:c>
    </x:row>
    <x:row r="121">
      <x:c r="A121" s="6" t="n">
        <x:v>46122</x:v>
      </x:c>
      <x:c r="B121" t="str">
        <x:v>Auto Mech Tools</x:v>
      </x:c>
      <x:c r="C121" t="str">
        <x:v>NA/0151/26-27</x:v>
      </x:c>
      <x:c r="D121" s="7" t="n">
        <x:v>14318</x:v>
      </x:c>
      <x:c r="E121" s="6" t="n">
        <x:v>46122</x:v>
      </x:c>
      <x:c r="F121" t="n">
        <x:f>TODAY()-E121</x:f>
        <x:v>113</x:v>
      </x:c>
      <x:c r="G121" s="7" t="n">
        <x:f>SUMIF($B$5:$B$563,B121,$D$5:$D$563)</x:f>
        <x:v>92608</x:v>
      </x:c>
    </x:row>
    <x:row r="122">
      <x:c r="A122" s="6" t="n">
        <x:v>46122</x:v>
      </x:c>
      <x:c r="B122" t="str">
        <x:v>Fahi Q Innovation</x:v>
      </x:c>
      <x:c r="C122" t="str">
        <x:v>NA/0153/26-27</x:v>
      </x:c>
      <x:c r="D122" s="7" t="n">
        <x:v>28320</x:v>
      </x:c>
      <x:c r="E122" s="6" t="n">
        <x:v>46122</x:v>
      </x:c>
      <x:c r="F122" t="n">
        <x:f>TODAY()-E122</x:f>
        <x:v>113</x:v>
      </x:c>
      <x:c r="G122" s="7" t="n">
        <x:f>SUMIF($B$5:$B$563,B122,$D$5:$D$563)</x:f>
        <x:v>68959</x:v>
      </x:c>
    </x:row>
    <x:row r="123">
      <x:c r="A123" s="6" t="n">
        <x:v>46122</x:v>
      </x:c>
      <x:c r="B123" t="str">
        <x:v>Salem Pipe Traders</x:v>
      </x:c>
      <x:c r="C123" t="str">
        <x:v>NA/0150/26-27</x:v>
      </x:c>
      <x:c r="D123" s="7" t="n">
        <x:v>3201</x:v>
      </x:c>
      <x:c r="E123" s="6" t="n">
        <x:v>46122</x:v>
      </x:c>
      <x:c r="F123" t="n">
        <x:f>TODAY()-E123</x:f>
        <x:v>113</x:v>
      </x:c>
      <x:c r="G123" s="7" t="n">
        <x:f>SUMIF($B$5:$B$563,B123,$D$5:$D$563)</x:f>
        <x:v>61020</x:v>
      </x:c>
    </x:row>
    <x:row r="124">
      <x:c r="A124" s="6" t="n">
        <x:v>46123</x:v>
      </x:c>
      <x:c r="B124" t="str">
        <x:v>Alutech Foundry India (P) LTD</x:v>
      </x:c>
      <x:c r="C124" t="str">
        <x:v>NA/0175/26-27</x:v>
      </x:c>
      <x:c r="D124" s="7" t="n">
        <x:v>1770</x:v>
      </x:c>
      <x:c r="E124" s="6" t="n">
        <x:v>46123</x:v>
      </x:c>
      <x:c r="F124" t="n">
        <x:f>TODAY()-E124</x:f>
        <x:v>112</x:v>
      </x:c>
      <x:c r="G124" s="7" t="n">
        <x:f>SUMIF($B$5:$B$563,B124,$D$5:$D$563)</x:f>
        <x:v>7965</x:v>
      </x:c>
    </x:row>
    <x:row r="125">
      <x:c r="A125" s="6" t="n">
        <x:v>46123</x:v>
      </x:c>
      <x:c r="B125" t="str">
        <x:v>Aqiq Enterprises</x:v>
      </x:c>
      <x:c r="C125" t="str">
        <x:v>NA/0179/26-27</x:v>
      </x:c>
      <x:c r="D125" s="7" t="n">
        <x:v>2491</x:v>
      </x:c>
      <x:c r="E125" s="6" t="n">
        <x:v>46123</x:v>
      </x:c>
      <x:c r="F125" t="n">
        <x:f>TODAY()-E125</x:f>
        <x:v>112</x:v>
      </x:c>
      <x:c r="G125" s="7" t="n">
        <x:f>SUMIF($B$5:$B$563,B125,$D$5:$D$563)</x:f>
        <x:v>10155</x:v>
      </x:c>
    </x:row>
    <x:row r="126">
      <x:c r="A126" s="6" t="n">
        <x:v>46123</x:v>
      </x:c>
      <x:c r="B126" t="str">
        <x:v>Burhani Traders</x:v>
      </x:c>
      <x:c r="C126" t="str">
        <x:v>NA/0168/26-27</x:v>
      </x:c>
      <x:c r="D126" s="7" t="n">
        <x:v>10900</x:v>
      </x:c>
      <x:c r="E126" s="6" t="n">
        <x:v>46123</x:v>
      </x:c>
      <x:c r="F126" t="n">
        <x:f>TODAY()-E126</x:f>
        <x:v>112</x:v>
      </x:c>
      <x:c r="G126" s="7" t="n">
        <x:f>SUMIF($B$5:$B$563,B126,$D$5:$D$563)</x:f>
        <x:v>238111</x:v>
      </x:c>
    </x:row>
    <x:row r="127">
      <x:c r="A127" s="6" t="n">
        <x:v>46125</x:v>
      </x:c>
      <x:c r="B127" t="str">
        <x:v>Associated Hardware &amp; Tools Corporation</x:v>
      </x:c>
      <x:c r="C127" t="str">
        <x:v>NA/0185/26-27</x:v>
      </x:c>
      <x:c r="D127" s="7" t="n">
        <x:v>4200</x:v>
      </x:c>
      <x:c r="E127" s="6" t="n">
        <x:v>46125</x:v>
      </x:c>
      <x:c r="F127" t="n">
        <x:f>TODAY()-E127</x:f>
        <x:v>110</x:v>
      </x:c>
      <x:c r="G127" s="7" t="n">
        <x:f>SUMIF($B$5:$B$563,B127,$D$5:$D$563)</x:f>
        <x:v>41253</x:v>
      </x:c>
    </x:row>
    <x:row r="128">
      <x:c r="A128" s="6" t="n">
        <x:v>46125</x:v>
      </x:c>
      <x:c r="B128" t="str">
        <x:v>Associated Hardware &amp; Tools Corporation</x:v>
      </x:c>
      <x:c r="C128" t="str">
        <x:v>NA/0194/26-27</x:v>
      </x:c>
      <x:c r="D128" s="7" t="n">
        <x:v>4200</x:v>
      </x:c>
      <x:c r="E128" s="6" t="n">
        <x:v>46125</x:v>
      </x:c>
      <x:c r="F128" t="n">
        <x:f>TODAY()-E128</x:f>
        <x:v>110</x:v>
      </x:c>
      <x:c r="G128" s="7" t="n">
        <x:f>SUMIF($B$5:$B$563,B128,$D$5:$D$563)</x:f>
        <x:v>41253</x:v>
      </x:c>
    </x:row>
    <x:row r="129">
      <x:c r="A129" s="6" t="n">
        <x:v>46125</x:v>
      </x:c>
      <x:c r="B129" t="str">
        <x:v>Taher Enterprises</x:v>
      </x:c>
      <x:c r="C129" t="str">
        <x:v>NA/0193/26-27</x:v>
      </x:c>
      <x:c r="D129" s="7" t="n">
        <x:v>6183</x:v>
      </x:c>
      <x:c r="E129" s="6" t="n">
        <x:v>46125</x:v>
      </x:c>
      <x:c r="F129" t="n">
        <x:f>TODAY()-E129</x:f>
        <x:v>110</x:v>
      </x:c>
      <x:c r="G129" s="7" t="n">
        <x:f>SUMIF($B$5:$B$563,B129,$D$5:$D$563)</x:f>
        <x:v>22615</x:v>
      </x:c>
    </x:row>
    <x:row r="130">
      <x:c r="A130" s="6" t="n">
        <x:v>46127</x:v>
      </x:c>
      <x:c r="B130" t="str">
        <x:v>Aqiq Enterprises</x:v>
      </x:c>
      <x:c r="C130" t="str">
        <x:v>NA/0201/26-27</x:v>
      </x:c>
      <x:c r="D130" s="7" t="n">
        <x:v>1258</x:v>
      </x:c>
      <x:c r="E130" s="6" t="n">
        <x:v>46127</x:v>
      </x:c>
      <x:c r="F130" t="n">
        <x:f>TODAY()-E130</x:f>
        <x:v>108</x:v>
      </x:c>
      <x:c r="G130" s="7" t="n">
        <x:f>SUMIF($B$5:$B$563,B130,$D$5:$D$563)</x:f>
        <x:v>10155</x:v>
      </x:c>
    </x:row>
    <x:row r="131">
      <x:c r="A131" s="6" t="n">
        <x:v>46127</x:v>
      </x:c>
      <x:c r="B131" t="str">
        <x:v>Associated Hardware &amp; Tools Corporation</x:v>
      </x:c>
      <x:c r="C131" t="str">
        <x:v>NA/0203/26-27</x:v>
      </x:c>
      <x:c r="D131" s="7" t="n">
        <x:v>180</x:v>
      </x:c>
      <x:c r="E131" s="6" t="n">
        <x:v>46127</x:v>
      </x:c>
      <x:c r="F131" t="n">
        <x:f>TODAY()-E131</x:f>
        <x:v>108</x:v>
      </x:c>
      <x:c r="G131" s="7" t="n">
        <x:f>SUMIF($B$5:$B$563,B131,$D$5:$D$563)</x:f>
        <x:v>41253</x:v>
      </x:c>
    </x:row>
    <x:row r="132">
      <x:c r="A132" s="6" t="n">
        <x:v>46127</x:v>
      </x:c>
      <x:c r="B132" t="str">
        <x:v>Associated Hardware &amp; Tools Corporation</x:v>
      </x:c>
      <x:c r="C132" t="str">
        <x:v>NA/0212/26-27</x:v>
      </x:c>
      <x:c r="D132" s="7" t="n">
        <x:v>12600</x:v>
      </x:c>
      <x:c r="E132" s="6" t="n">
        <x:v>46127</x:v>
      </x:c>
      <x:c r="F132" t="n">
        <x:f>TODAY()-E132</x:f>
        <x:v>108</x:v>
      </x:c>
      <x:c r="G132" s="7" t="n">
        <x:f>SUMIF($B$5:$B$563,B132,$D$5:$D$563)</x:f>
        <x:v>41253</x:v>
      </x:c>
    </x:row>
    <x:row r="133">
      <x:c r="A133" s="6" t="n">
        <x:v>46128</x:v>
      </x:c>
      <x:c r="B133" t="str">
        <x:v>Associated Hardware &amp; Tools Corporation</x:v>
      </x:c>
      <x:c r="C133" t="str">
        <x:v>NA/0217/26-27</x:v>
      </x:c>
      <x:c r="D133" s="7" t="n">
        <x:v>473</x:v>
      </x:c>
      <x:c r="E133" s="6" t="n">
        <x:v>46128</x:v>
      </x:c>
      <x:c r="F133" t="n">
        <x:f>TODAY()-E133</x:f>
        <x:v>107</x:v>
      </x:c>
      <x:c r="G133" s="7" t="n">
        <x:f>SUMIF($B$5:$B$563,B133,$D$5:$D$563)</x:f>
        <x:v>41253</x:v>
      </x:c>
    </x:row>
    <x:row r="134">
      <x:c r="A134" s="6" t="n">
        <x:v>46128</x:v>
      </x:c>
      <x:c r="B134" t="str">
        <x:v>Coimbatore Machinery &amp; Metal Mart</x:v>
      </x:c>
      <x:c r="C134" t="str">
        <x:v>NA/0216/26-27</x:v>
      </x:c>
      <x:c r="D134" s="7" t="n">
        <x:v>1127</x:v>
      </x:c>
      <x:c r="E134" s="6" t="n">
        <x:v>46128</x:v>
      </x:c>
      <x:c r="F134" t="n">
        <x:f>TODAY()-E134</x:f>
        <x:v>107</x:v>
      </x:c>
      <x:c r="G134" s="7" t="n">
        <x:f>SUMIF($B$5:$B$563,B134,$D$5:$D$563)</x:f>
        <x:v>2464</x:v>
      </x:c>
    </x:row>
    <x:row r="135">
      <x:c r="A135" s="6" t="n">
        <x:v>46133</x:v>
      </x:c>
      <x:c r="B135" t="str">
        <x:v>Noor Enterprises</x:v>
      </x:c>
      <x:c r="C135" t="str">
        <x:v>NA/0287/26-27</x:v>
      </x:c>
      <x:c r="D135" s="7" t="n">
        <x:v>15000</x:v>
      </x:c>
      <x:c r="E135" s="6" t="n">
        <x:v>46133</x:v>
      </x:c>
      <x:c r="F135" t="n">
        <x:f>TODAY()-E135</x:f>
        <x:v>102</x:v>
      </x:c>
      <x:c r="G135" s="7" t="n">
        <x:f>SUMIF($B$5:$B$563,B135,$D$5:$D$563)</x:f>
        <x:v>28750</x:v>
      </x:c>
    </x:row>
    <x:row r="136">
      <x:c r="A136" s="6" t="n">
        <x:v>46133</x:v>
      </x:c>
      <x:c r="B136" t="str">
        <x:v>Salem Pipe Traders</x:v>
      </x:c>
      <x:c r="C136" t="str">
        <x:v>NA/0285/26-27</x:v>
      </x:c>
      <x:c r="D136" s="7" t="n">
        <x:v>9956</x:v>
      </x:c>
      <x:c r="E136" s="6" t="n">
        <x:v>46133</x:v>
      </x:c>
      <x:c r="F136" t="n">
        <x:f>TODAY()-E136</x:f>
        <x:v>102</x:v>
      </x:c>
      <x:c r="G136" s="7" t="n">
        <x:f>SUMIF($B$5:$B$563,B136,$D$5:$D$563)</x:f>
        <x:v>61020</x:v>
      </x:c>
    </x:row>
    <x:row r="137">
      <x:c r="A137" s="6" t="n">
        <x:v>46136</x:v>
      </x:c>
      <x:c r="B137" t="str">
        <x:v>Evershine Enterprises</x:v>
      </x:c>
      <x:c r="C137" t="str">
        <x:v>NA/0306/26-27</x:v>
      </x:c>
      <x:c r="D137" s="7" t="n">
        <x:v>7296</x:v>
      </x:c>
      <x:c r="E137" s="6" t="n">
        <x:v>46136</x:v>
      </x:c>
      <x:c r="F137" t="n">
        <x:f>TODAY()-E137</x:f>
        <x:v>99</x:v>
      </x:c>
      <x:c r="G137" s="7" t="n">
        <x:f>SUMIF($B$5:$B$563,B137,$D$5:$D$563)</x:f>
        <x:v>53111</x:v>
      </x:c>
    </x:row>
    <x:row r="138">
      <x:c r="A138" s="6" t="n">
        <x:v>46136</x:v>
      </x:c>
      <x:c r="B138" t="str">
        <x:v>MS Trading Company</x:v>
      </x:c>
      <x:c r="C138" t="str">
        <x:v>NA/0296/26-27</x:v>
      </x:c>
      <x:c r="D138" s="7" t="n">
        <x:v>1623</x:v>
      </x:c>
      <x:c r="E138" s="6" t="n">
        <x:v>46136</x:v>
      </x:c>
      <x:c r="F138" t="n">
        <x:f>TODAY()-E138</x:f>
        <x:v>99</x:v>
      </x:c>
      <x:c r="G138" s="7" t="n">
        <x:f>SUMIF($B$5:$B$563,B138,$D$5:$D$563)</x:f>
        <x:v>1623</x:v>
      </x:c>
    </x:row>
    <x:row r="139">
      <x:c r="A139" s="6" t="n">
        <x:v>46136</x:v>
      </x:c>
      <x:c r="B139" t="str">
        <x:v>Salem Pipe Traders</x:v>
      </x:c>
      <x:c r="C139" t="str">
        <x:v>NA/0300/26-27</x:v>
      </x:c>
      <x:c r="D139" s="7" t="n">
        <x:v>5250</x:v>
      </x:c>
      <x:c r="E139" s="6" t="n">
        <x:v>46136</x:v>
      </x:c>
      <x:c r="F139" t="n">
        <x:f>TODAY()-E139</x:f>
        <x:v>99</x:v>
      </x:c>
      <x:c r="G139" s="7" t="n">
        <x:f>SUMIF($B$5:$B$563,B139,$D$5:$D$563)</x:f>
        <x:v>61020</x:v>
      </x:c>
    </x:row>
    <x:row r="140">
      <x:c r="A140" s="6" t="n">
        <x:v>46137</x:v>
      </x:c>
      <x:c r="B140" t="str">
        <x:v>Alif Traders</x:v>
      </x:c>
      <x:c r="C140" t="str">
        <x:v>NA/0323/26-27</x:v>
      </x:c>
      <x:c r="D140" s="7" t="n">
        <x:v>1180</x:v>
      </x:c>
      <x:c r="E140" s="6" t="n">
        <x:v>46137</x:v>
      </x:c>
      <x:c r="F140" t="n">
        <x:f>TODAY()-E140</x:f>
        <x:v>98</x:v>
      </x:c>
      <x:c r="G140" s="7" t="n">
        <x:f>SUMIF($B$5:$B$563,B140,$D$5:$D$563)</x:f>
        <x:v>119404</x:v>
      </x:c>
    </x:row>
    <x:row r="141">
      <x:c r="A141" s="6" t="n">
        <x:v>46137</x:v>
      </x:c>
      <x:c r="B141" t="str">
        <x:v>Auto Mech Tools</x:v>
      </x:c>
      <x:c r="C141" t="str">
        <x:v>NA/0330/26-27</x:v>
      </x:c>
      <x:c r="D141" s="7" t="n">
        <x:v>449</x:v>
      </x:c>
      <x:c r="E141" s="6" t="n">
        <x:v>46137</x:v>
      </x:c>
      <x:c r="F141" t="n">
        <x:f>TODAY()-E141</x:f>
        <x:v>98</x:v>
      </x:c>
      <x:c r="G141" s="7" t="n">
        <x:f>SUMIF($B$5:$B$563,B141,$D$5:$D$563)</x:f>
        <x:v>92608</x:v>
      </x:c>
    </x:row>
    <x:row r="142">
      <x:c r="A142" s="6" t="n">
        <x:v>46137</x:v>
      </x:c>
      <x:c r="B142" t="str">
        <x:v>B M Trade Links</x:v>
      </x:c>
      <x:c r="C142" t="str">
        <x:v>NA/0325/26-27</x:v>
      </x:c>
      <x:c r="D142" s="7" t="n">
        <x:v>1726</x:v>
      </x:c>
      <x:c r="E142" s="6" t="n">
        <x:v>46137</x:v>
      </x:c>
      <x:c r="F142" t="n">
        <x:f>TODAY()-E142</x:f>
        <x:v>98</x:v>
      </x:c>
      <x:c r="G142" s="7" t="n">
        <x:f>SUMIF($B$5:$B$563,B142,$D$5:$D$563)</x:f>
        <x:v>23286</x:v>
      </x:c>
    </x:row>
    <x:row r="143">
      <x:c r="A143" s="6" t="n">
        <x:v>46137</x:v>
      </x:c>
      <x:c r="B143" t="str">
        <x:v>Burhani Traders</x:v>
      </x:c>
      <x:c r="C143" t="str">
        <x:v>NA/0328/26-27</x:v>
      </x:c>
      <x:c r="D143" s="7" t="n">
        <x:v>7949</x:v>
      </x:c>
      <x:c r="E143" s="6" t="n">
        <x:v>46137</x:v>
      </x:c>
      <x:c r="F143" t="n">
        <x:f>TODAY()-E143</x:f>
        <x:v>98</x:v>
      </x:c>
      <x:c r="G143" s="7" t="n">
        <x:f>SUMIF($B$5:$B$563,B143,$D$5:$D$563)</x:f>
        <x:v>238111</x:v>
      </x:c>
    </x:row>
    <x:row r="144">
      <x:c r="A144" s="6" t="n">
        <x:v>46137</x:v>
      </x:c>
      <x:c r="B144" t="str">
        <x:v>Burhani Traders</x:v>
      </x:c>
      <x:c r="C144" t="str">
        <x:v>NA/0339/26-27</x:v>
      </x:c>
      <x:c r="D144" s="7" t="n">
        <x:v>30000</x:v>
      </x:c>
      <x:c r="E144" s="6" t="n">
        <x:v>46137</x:v>
      </x:c>
      <x:c r="F144" t="n">
        <x:f>TODAY()-E144</x:f>
        <x:v>98</x:v>
      </x:c>
      <x:c r="G144" s="7" t="n">
        <x:f>SUMIF($B$5:$B$563,B144,$D$5:$D$563)</x:f>
        <x:v>238111</x:v>
      </x:c>
    </x:row>
    <x:row r="145">
      <x:c r="A145" s="6" t="n">
        <x:v>46137</x:v>
      </x:c>
      <x:c r="B145" t="str">
        <x:v>Quadari Enterprises</x:v>
      </x:c>
      <x:c r="C145" t="str">
        <x:v>NA/0332/26-27</x:v>
      </x:c>
      <x:c r="D145" s="7" t="n">
        <x:v>4000</x:v>
      </x:c>
      <x:c r="E145" s="6" t="n">
        <x:v>46137</x:v>
      </x:c>
      <x:c r="F145" t="n">
        <x:f>TODAY()-E145</x:f>
        <x:v>98</x:v>
      </x:c>
      <x:c r="G145" s="7" t="n">
        <x:f>SUMIF($B$5:$B$563,B145,$D$5:$D$563)</x:f>
        <x:v>58985</x:v>
      </x:c>
    </x:row>
    <x:row r="146">
      <x:c r="A146" s="6" t="n">
        <x:v>46137</x:v>
      </x:c>
      <x:c r="B146" t="str">
        <x:v>South Coast Enterprises</x:v>
      </x:c>
      <x:c r="C146" t="str">
        <x:v>NA/0329/26-27</x:v>
      </x:c>
      <x:c r="D146" s="7" t="n">
        <x:v>250</x:v>
      </x:c>
      <x:c r="E146" s="6" t="n">
        <x:v>46137</x:v>
      </x:c>
      <x:c r="F146" t="n">
        <x:f>TODAY()-E146</x:f>
        <x:v>98</x:v>
      </x:c>
      <x:c r="G146" s="7" t="n">
        <x:f>SUMIF($B$5:$B$563,B146,$D$5:$D$563)</x:f>
        <x:v>14037</x:v>
      </x:c>
    </x:row>
    <x:row r="147">
      <x:c r="A147" s="6" t="n">
        <x:v>46139</x:v>
      </x:c>
      <x:c r="B147" t="str">
        <x:v>Salem Pipe Traders</x:v>
      </x:c>
      <x:c r="C147" t="str">
        <x:v>NA/0344/26-27</x:v>
      </x:c>
      <x:c r="D147" s="7" t="n">
        <x:v>4830</x:v>
      </x:c>
      <x:c r="E147" s="6" t="n">
        <x:v>46139</x:v>
      </x:c>
      <x:c r="F147" t="n">
        <x:f>TODAY()-E147</x:f>
        <x:v>96</x:v>
      </x:c>
      <x:c r="G147" s="7" t="n">
        <x:f>SUMIF($B$5:$B$563,B147,$D$5:$D$563)</x:f>
        <x:v>61020</x:v>
      </x:c>
    </x:row>
    <x:row r="148">
      <x:c r="A148" s="6" t="n">
        <x:v>46140</x:v>
      </x:c>
      <x:c r="B148" t="str">
        <x:v>South India Trading Agencies</x:v>
      </x:c>
      <x:c r="C148" t="str">
        <x:v>NA/0361/26-27</x:v>
      </x:c>
      <x:c r="D148" s="7" t="n">
        <x:v>255</x:v>
      </x:c>
      <x:c r="E148" s="6" t="n">
        <x:v>46140</x:v>
      </x:c>
      <x:c r="F148" t="n">
        <x:f>TODAY()-E148</x:f>
        <x:v>95</x:v>
      </x:c>
      <x:c r="G148" s="7" t="n">
        <x:f>SUMIF($B$5:$B$563,B148,$D$5:$D$563)</x:f>
        <x:v>594</x:v>
      </x:c>
    </x:row>
    <x:row r="149">
      <x:c r="A149" s="6" t="n">
        <x:v>46140</x:v>
      </x:c>
      <x:c r="B149" t="str">
        <x:v>Unique Wire Ropes &amp; Tackles</x:v>
      </x:c>
      <x:c r="C149" t="str">
        <x:v>NA/0356/26-27</x:v>
      </x:c>
      <x:c r="D149" s="7" t="n">
        <x:v>3801</x:v>
      </x:c>
      <x:c r="E149" s="6" t="n">
        <x:v>46140</x:v>
      </x:c>
      <x:c r="F149" t="n">
        <x:f>TODAY()-E149</x:f>
        <x:v>95</x:v>
      </x:c>
      <x:c r="G149" s="7" t="n">
        <x:f>SUMIF($B$5:$B$563,B149,$D$5:$D$563)</x:f>
        <x:v>86975</x:v>
      </x:c>
    </x:row>
    <x:row r="150">
      <x:c r="A150" s="6" t="n">
        <x:v>46141</x:v>
      </x:c>
      <x:c r="B150" t="str">
        <x:v>Evershine Enterprises</x:v>
      </x:c>
      <x:c r="C150" t="str">
        <x:v>NA/0371/26-27</x:v>
      </x:c>
      <x:c r="D150" s="7" t="n">
        <x:v>8832</x:v>
      </x:c>
      <x:c r="E150" s="6" t="n">
        <x:v>46141</x:v>
      </x:c>
      <x:c r="F150" t="n">
        <x:f>TODAY()-E150</x:f>
        <x:v>94</x:v>
      </x:c>
      <x:c r="G150" s="7" t="n">
        <x:f>SUMIF($B$5:$B$563,B150,$D$5:$D$563)</x:f>
        <x:v>53111</x:v>
      </x:c>
    </x:row>
    <x:row r="151">
      <x:c r="A151" s="6" t="n">
        <x:v>46141</x:v>
      </x:c>
      <x:c r="B151" t="str">
        <x:v>Salem Pipe Traders</x:v>
      </x:c>
      <x:c r="C151" t="str">
        <x:v>NA/0385/26-27</x:v>
      </x:c>
      <x:c r="D151" s="7" t="n">
        <x:v>9240</x:v>
      </x:c>
      <x:c r="E151" s="6" t="n">
        <x:v>46141</x:v>
      </x:c>
      <x:c r="F151" t="n">
        <x:f>TODAY()-E151</x:f>
        <x:v>94</x:v>
      </x:c>
      <x:c r="G151" s="7" t="n">
        <x:f>SUMIF($B$5:$B$563,B151,$D$5:$D$563)</x:f>
        <x:v>61020</x:v>
      </x:c>
    </x:row>
    <x:row r="152">
      <x:c r="A152" s="6" t="n">
        <x:v>46144</x:v>
      </x:c>
      <x:c r="B152" t="str">
        <x:v>Aqiq Enterprises</x:v>
      </x:c>
      <x:c r="C152" t="str">
        <x:v>NA/0418/26-27</x:v>
      </x:c>
      <x:c r="D152" s="7" t="n">
        <x:v>730</x:v>
      </x:c>
      <x:c r="E152" s="6" t="n">
        <x:v>46144</x:v>
      </x:c>
      <x:c r="F152" t="n">
        <x:f>TODAY()-E152</x:f>
        <x:v>91</x:v>
      </x:c>
      <x:c r="G152" s="7" t="n">
        <x:f>SUMIF($B$5:$B$563,B152,$D$5:$D$563)</x:f>
        <x:v>10155</x:v>
      </x:c>
    </x:row>
    <x:row r="153">
      <x:c r="A153" s="6" t="n">
        <x:v>46144</x:v>
      </x:c>
      <x:c r="B153" t="str">
        <x:v>Auto Mech Tools</x:v>
      </x:c>
      <x:c r="C153" t="str">
        <x:v>NA/0412/26-27</x:v>
      </x:c>
      <x:c r="D153" s="7" t="n">
        <x:v>2260</x:v>
      </x:c>
      <x:c r="E153" s="6" t="n">
        <x:v>46144</x:v>
      </x:c>
      <x:c r="F153" t="n">
        <x:f>TODAY()-E153</x:f>
        <x:v>91</x:v>
      </x:c>
      <x:c r="G153" s="7" t="n">
        <x:f>SUMIF($B$5:$B$563,B153,$D$5:$D$563)</x:f>
        <x:v>92608</x:v>
      </x:c>
    </x:row>
    <x:row r="154">
      <x:c r="A154" s="6" t="n">
        <x:v>46144</x:v>
      </x:c>
      <x:c r="B154" t="str">
        <x:v>Auto Mech Tools</x:v>
      </x:c>
      <x:c r="C154" t="str">
        <x:v>NA/0419/26-27</x:v>
      </x:c>
      <x:c r="D154" s="7" t="n">
        <x:v>7300</x:v>
      </x:c>
      <x:c r="E154" s="6" t="n">
        <x:v>46144</x:v>
      </x:c>
      <x:c r="F154" t="n">
        <x:f>TODAY()-E154</x:f>
        <x:v>91</x:v>
      </x:c>
      <x:c r="G154" s="7" t="n">
        <x:f>SUMIF($B$5:$B$563,B154,$D$5:$D$563)</x:f>
        <x:v>92608</x:v>
      </x:c>
    </x:row>
    <x:row r="155">
      <x:c r="A155" s="6" t="n">
        <x:v>46144</x:v>
      </x:c>
      <x:c r="B155" t="str">
        <x:v>Burhani Traders</x:v>
      </x:c>
      <x:c r="C155" t="str">
        <x:v>NA/0402/26-27</x:v>
      </x:c>
      <x:c r="D155" s="7" t="n">
        <x:v>16750</x:v>
      </x:c>
      <x:c r="E155" s="6" t="n">
        <x:v>46144</x:v>
      </x:c>
      <x:c r="F155" t="n">
        <x:f>TODAY()-E155</x:f>
        <x:v>91</x:v>
      </x:c>
      <x:c r="G155" s="7" t="n">
        <x:f>SUMIF($B$5:$B$563,B155,$D$5:$D$563)</x:f>
        <x:v>238111</x:v>
      </x:c>
    </x:row>
    <x:row r="156">
      <x:c r="A156" s="6" t="n">
        <x:v>46144</x:v>
      </x:c>
      <x:c r="B156" t="str">
        <x:v>Modern Enterprises</x:v>
      </x:c>
      <x:c r="C156" t="str">
        <x:v>NA/0414/26-27</x:v>
      </x:c>
      <x:c r="D156" s="7" t="n">
        <x:v>4000</x:v>
      </x:c>
      <x:c r="E156" s="6" t="n">
        <x:v>46144</x:v>
      </x:c>
      <x:c r="F156" t="n">
        <x:f>TODAY()-E156</x:f>
        <x:v>91</x:v>
      </x:c>
      <x:c r="G156" s="7" t="n">
        <x:f>SUMIF($B$5:$B$563,B156,$D$5:$D$563)</x:f>
        <x:v>112332</x:v>
      </x:c>
    </x:row>
    <x:row r="157">
      <x:c r="A157" s="6" t="n">
        <x:v>46144</x:v>
      </x:c>
      <x:c r="B157" t="str">
        <x:v>Safeboy Safety Solutions</x:v>
      </x:c>
      <x:c r="C157" t="str">
        <x:v>NA/0409/26-27</x:v>
      </x:c>
      <x:c r="D157" s="7" t="n">
        <x:v>1037</x:v>
      </x:c>
      <x:c r="E157" s="6" t="n">
        <x:v>46144</x:v>
      </x:c>
      <x:c r="F157" t="n">
        <x:f>TODAY()-E157</x:f>
        <x:v>91</x:v>
      </x:c>
      <x:c r="G157" s="7" t="n">
        <x:f>SUMIF($B$5:$B$563,B157,$D$5:$D$563)</x:f>
        <x:v>22276</x:v>
      </x:c>
    </x:row>
    <x:row r="158">
      <x:c r="A158" s="6" t="n">
        <x:v>46144</x:v>
      </x:c>
      <x:c r="B158" t="str">
        <x:v>South Coast Enterprises</x:v>
      </x:c>
      <x:c r="C158" t="str">
        <x:v>NA/0410/26-27</x:v>
      </x:c>
      <x:c r="D158" s="7" t="n">
        <x:v>765</x:v>
      </x:c>
      <x:c r="E158" s="6" t="n">
        <x:v>46144</x:v>
      </x:c>
      <x:c r="F158" t="n">
        <x:f>TODAY()-E158</x:f>
        <x:v>91</x:v>
      </x:c>
      <x:c r="G158" s="7" t="n">
        <x:f>SUMIF($B$5:$B$563,B158,$D$5:$D$563)</x:f>
        <x:v>14037</x:v>
      </x:c>
    </x:row>
    <x:row r="159">
      <x:c r="A159" s="6" t="n">
        <x:v>46144</x:v>
      </x:c>
      <x:c r="B159" t="str">
        <x:v>Unique Wire Ropes &amp; Tackles</x:v>
      </x:c>
      <x:c r="C159" t="str">
        <x:v>NA/0411/26-27</x:v>
      </x:c>
      <x:c r="D159" s="7" t="n">
        <x:v>17463</x:v>
      </x:c>
      <x:c r="E159" s="6" t="n">
        <x:v>46144</x:v>
      </x:c>
      <x:c r="F159" t="n">
        <x:f>TODAY()-E159</x:f>
        <x:v>91</x:v>
      </x:c>
      <x:c r="G159" s="7" t="n">
        <x:f>SUMIF($B$5:$B$563,B159,$D$5:$D$563)</x:f>
        <x:v>86975</x:v>
      </x:c>
    </x:row>
    <x:row r="160">
      <x:c r="A160" s="6" t="n">
        <x:v>46147</x:v>
      </x:c>
      <x:c r="B160" t="str">
        <x:v>IAMAX Precision India Pvt Ltd</x:v>
      </x:c>
      <x:c r="C160" t="str">
        <x:v>NA/0435/26-27</x:v>
      </x:c>
      <x:c r="D160" s="7" t="n">
        <x:v>11144</x:v>
      </x:c>
      <x:c r="E160" s="6" t="n">
        <x:v>46147</x:v>
      </x:c>
      <x:c r="F160" t="n">
        <x:f>TODAY()-E160</x:f>
        <x:v>88</x:v>
      </x:c>
      <x:c r="G160" s="7" t="n">
        <x:f>SUMIF($B$5:$B$563,B160,$D$5:$D$563)</x:f>
        <x:v>66432</x:v>
      </x:c>
    </x:row>
    <x:row r="161">
      <x:c r="A161" s="6" t="n">
        <x:v>46147</x:v>
      </x:c>
      <x:c r="B161" t="str">
        <x:v>Safeboy Safety Solutions</x:v>
      </x:c>
      <x:c r="C161" t="str">
        <x:v>NA/0433/26-27</x:v>
      </x:c>
      <x:c r="D161" s="7" t="n">
        <x:v>1196</x:v>
      </x:c>
      <x:c r="E161" s="6" t="n">
        <x:v>46147</x:v>
      </x:c>
      <x:c r="F161" t="n">
        <x:f>TODAY()-E161</x:f>
        <x:v>88</x:v>
      </x:c>
      <x:c r="G161" s="7" t="n">
        <x:f>SUMIF($B$5:$B$563,B161,$D$5:$D$563)</x:f>
        <x:v>22276</x:v>
      </x:c>
    </x:row>
    <x:row r="162">
      <x:c r="A162" s="6" t="n">
        <x:v>46148</x:v>
      </x:c>
      <x:c r="B162" t="str">
        <x:v>Modern Enterprises</x:v>
      </x:c>
      <x:c r="C162" t="str">
        <x:v>NA/0443/26-27</x:v>
      </x:c>
      <x:c r="D162" s="7" t="n">
        <x:v>42010</x:v>
      </x:c>
      <x:c r="E162" s="6" t="n">
        <x:v>46148</x:v>
      </x:c>
      <x:c r="F162" t="n">
        <x:f>TODAY()-E162</x:f>
        <x:v>87</x:v>
      </x:c>
      <x:c r="G162" s="7" t="n">
        <x:f>SUMIF($B$5:$B$563,B162,$D$5:$D$563)</x:f>
        <x:v>112332</x:v>
      </x:c>
    </x:row>
    <x:row r="163">
      <x:c r="A163" s="6" t="n">
        <x:v>46149</x:v>
      </x:c>
      <x:c r="B163" t="str">
        <x:v>Evershine Enterprises</x:v>
      </x:c>
      <x:c r="C163" t="str">
        <x:v>NA/0471/26-27</x:v>
      </x:c>
      <x:c r="D163" s="7" t="n">
        <x:v>1138</x:v>
      </x:c>
      <x:c r="E163" s="6" t="n">
        <x:v>46149</x:v>
      </x:c>
      <x:c r="F163" t="n">
        <x:f>TODAY()-E163</x:f>
        <x:v>86</x:v>
      </x:c>
      <x:c r="G163" s="7" t="n">
        <x:f>SUMIF($B$5:$B$563,B163,$D$5:$D$563)</x:f>
        <x:v>53111</x:v>
      </x:c>
    </x:row>
    <x:row r="164">
      <x:c r="A164" s="6" t="n">
        <x:v>46150</x:v>
      </x:c>
      <x:c r="B164" t="str">
        <x:v>Coimbatore Machinery &amp; Metal Mart</x:v>
      </x:c>
      <x:c r="C164" t="str">
        <x:v>NA/0488/26-27</x:v>
      </x:c>
      <x:c r="D164" s="7" t="n">
        <x:v>1112</x:v>
      </x:c>
      <x:c r="E164" s="6" t="n">
        <x:v>46150</x:v>
      </x:c>
      <x:c r="F164" t="n">
        <x:f>TODAY()-E164</x:f>
        <x:v>85</x:v>
      </x:c>
      <x:c r="G164" s="7" t="n">
        <x:f>SUMIF($B$5:$B$563,B164,$D$5:$D$563)</x:f>
        <x:v>2464</x:v>
      </x:c>
    </x:row>
    <x:row r="165">
      <x:c r="A165" s="6" t="n">
        <x:v>46150</x:v>
      </x:c>
      <x:c r="B165" t="str">
        <x:v>Noor Enterprises</x:v>
      </x:c>
      <x:c r="C165" t="str">
        <x:v>NA/0476/26-27</x:v>
      </x:c>
      <x:c r="D165" s="7" t="n">
        <x:v>4200</x:v>
      </x:c>
      <x:c r="E165" s="6" t="n">
        <x:v>46150</x:v>
      </x:c>
      <x:c r="F165" t="n">
        <x:f>TODAY()-E165</x:f>
        <x:v>85</x:v>
      </x:c>
      <x:c r="G165" s="7" t="n">
        <x:f>SUMIF($B$5:$B$563,B165,$D$5:$D$563)</x:f>
        <x:v>28750</x:v>
      </x:c>
    </x:row>
    <x:row r="166">
      <x:c r="A166" s="6" t="n">
        <x:v>46151</x:v>
      </x:c>
      <x:c r="B166" t="str">
        <x:v>Burhani Traders</x:v>
      </x:c>
      <x:c r="C166" t="str">
        <x:v>NA/0499/26-27</x:v>
      </x:c>
      <x:c r="D166" s="7" t="n">
        <x:v>27598</x:v>
      </x:c>
      <x:c r="E166" s="6" t="n">
        <x:v>46151</x:v>
      </x:c>
      <x:c r="F166" t="n">
        <x:f>TODAY()-E166</x:f>
        <x:v>84</x:v>
      </x:c>
      <x:c r="G166" s="7" t="n">
        <x:f>SUMIF($B$5:$B$563,B166,$D$5:$D$563)</x:f>
        <x:v>238111</x:v>
      </x:c>
    </x:row>
    <x:row r="167">
      <x:c r="A167" s="6" t="n">
        <x:v>46151</x:v>
      </x:c>
      <x:c r="B167" t="str">
        <x:v>Evershine Enterprises</x:v>
      </x:c>
      <x:c r="C167" t="str">
        <x:v>NA/0503/26-27</x:v>
      </x:c>
      <x:c r="D167" s="7" t="n">
        <x:v>1559</x:v>
      </x:c>
      <x:c r="E167" s="6" t="n">
        <x:v>46151</x:v>
      </x:c>
      <x:c r="F167" t="n">
        <x:f>TODAY()-E167</x:f>
        <x:v>84</x:v>
      </x:c>
      <x:c r="G167" s="7" t="n">
        <x:f>SUMIF($B$5:$B$563,B167,$D$5:$D$563)</x:f>
        <x:v>53111</x:v>
      </x:c>
    </x:row>
    <x:row r="168">
      <x:c r="A168" s="6" t="n">
        <x:v>46151</x:v>
      </x:c>
      <x:c r="B168" t="str">
        <x:v>Modern Enterprises</x:v>
      </x:c>
      <x:c r="C168" t="str">
        <x:v>NA/0504/26-27</x:v>
      </x:c>
      <x:c r="D168" s="7" t="n">
        <x:v>880</x:v>
      </x:c>
      <x:c r="E168" s="6" t="n">
        <x:v>46151</x:v>
      </x:c>
      <x:c r="F168" t="n">
        <x:f>TODAY()-E168</x:f>
        <x:v>84</x:v>
      </x:c>
      <x:c r="G168" s="7" t="n">
        <x:f>SUMIF($B$5:$B$563,B168,$D$5:$D$563)</x:f>
        <x:v>112332</x:v>
      </x:c>
    </x:row>
    <x:row r="169">
      <x:c r="A169" s="6" t="n">
        <x:v>46151</x:v>
      </x:c>
      <x:c r="B169" t="str">
        <x:v>Noor Traders</x:v>
      </x:c>
      <x:c r="C169" t="str">
        <x:v>NA/0508/26-27</x:v>
      </x:c>
      <x:c r="D169" s="7" t="n">
        <x:v>23296</x:v>
      </x:c>
      <x:c r="E169" s="6" t="n">
        <x:v>46151</x:v>
      </x:c>
      <x:c r="F169" t="n">
        <x:f>TODAY()-E169</x:f>
        <x:v>84</x:v>
      </x:c>
      <x:c r="G169" s="7" t="n">
        <x:f>SUMIF($B$5:$B$563,B169,$D$5:$D$563)</x:f>
        <x:v>108563</x:v>
      </x:c>
    </x:row>
    <x:row r="170">
      <x:c r="A170" s="6" t="n">
        <x:v>46154</x:v>
      </x:c>
      <x:c r="B170" t="str">
        <x:v>Hirani Hardware</x:v>
      </x:c>
      <x:c r="C170" t="str">
        <x:v>NA/0542/26-27</x:v>
      </x:c>
      <x:c r="D170" s="7" t="n">
        <x:v>1001</x:v>
      </x:c>
      <x:c r="E170" s="6" t="n">
        <x:v>46154</x:v>
      </x:c>
      <x:c r="F170" t="n">
        <x:f>TODAY()-E170</x:f>
        <x:v>81</x:v>
      </x:c>
      <x:c r="G170" s="7" t="n">
        <x:f>SUMIF($B$5:$B$563,B170,$D$5:$D$563)</x:f>
        <x:v>1001</x:v>
      </x:c>
    </x:row>
    <x:row r="171">
      <x:c r="A171" s="6" t="n">
        <x:v>46154</x:v>
      </x:c>
      <x:c r="B171" t="str">
        <x:v>Modern Enterprises</x:v>
      </x:c>
      <x:c r="C171" t="str">
        <x:v>NA/0547/26-27</x:v>
      </x:c>
      <x:c r="D171" s="7" t="n">
        <x:v>14091</x:v>
      </x:c>
      <x:c r="E171" s="6" t="n">
        <x:v>46154</x:v>
      </x:c>
      <x:c r="F171" t="n">
        <x:f>TODAY()-E171</x:f>
        <x:v>81</x:v>
      </x:c>
      <x:c r="G171" s="7" t="n">
        <x:f>SUMIF($B$5:$B$563,B171,$D$5:$D$563)</x:f>
        <x:v>112332</x:v>
      </x:c>
    </x:row>
    <x:row r="172">
      <x:c r="A172" s="6" t="n">
        <x:v>46154</x:v>
      </x:c>
      <x:c r="B172" t="str">
        <x:v>Quadari Enterprises</x:v>
      </x:c>
      <x:c r="C172" t="str">
        <x:v>NA/0539/26-27</x:v>
      </x:c>
      <x:c r="D172" s="7" t="n">
        <x:v>2784</x:v>
      </x:c>
      <x:c r="E172" s="6" t="n">
        <x:v>46154</x:v>
      </x:c>
      <x:c r="F172" t="n">
        <x:f>TODAY()-E172</x:f>
        <x:v>81</x:v>
      </x:c>
      <x:c r="G172" s="7" t="n">
        <x:f>SUMIF($B$5:$B$563,B172,$D$5:$D$563)</x:f>
        <x:v>58985</x:v>
      </x:c>
    </x:row>
    <x:row r="173">
      <x:c r="A173" s="6" t="n">
        <x:v>46155</x:v>
      </x:c>
      <x:c r="B173" t="str">
        <x:v>Safeboy Safety Solutions</x:v>
      </x:c>
      <x:c r="C173" t="str">
        <x:v>NA/0548/26-27</x:v>
      </x:c>
      <x:c r="D173" s="7" t="n">
        <x:v>1037</x:v>
      </x:c>
      <x:c r="E173" s="6" t="n">
        <x:v>46155</x:v>
      </x:c>
      <x:c r="F173" t="n">
        <x:f>TODAY()-E173</x:f>
        <x:v>80</x:v>
      </x:c>
      <x:c r="G173" s="7" t="n">
        <x:f>SUMIF($B$5:$B$563,B173,$D$5:$D$563)</x:f>
        <x:v>22276</x:v>
      </x:c>
    </x:row>
    <x:row r="174">
      <x:c r="A174" s="6" t="n">
        <x:v>46156</x:v>
      </x:c>
      <x:c r="B174" t="str">
        <x:v>Aqiq Enterprises</x:v>
      </x:c>
      <x:c r="C174" t="str">
        <x:v>NA/0554/26-27</x:v>
      </x:c>
      <x:c r="D174" s="7" t="n">
        <x:v>365</x:v>
      </x:c>
      <x:c r="E174" s="6" t="n">
        <x:v>46156</x:v>
      </x:c>
      <x:c r="F174" t="n">
        <x:f>TODAY()-E174</x:f>
        <x:v>79</x:v>
      </x:c>
      <x:c r="G174" s="7" t="n">
        <x:f>SUMIF($B$5:$B$563,B174,$D$5:$D$563)</x:f>
        <x:v>10155</x:v>
      </x:c>
    </x:row>
    <x:row r="175">
      <x:c r="A175" s="6" t="n">
        <x:v>46156</x:v>
      </x:c>
      <x:c r="B175" t="str">
        <x:v>Burhani Traders</x:v>
      </x:c>
      <x:c r="C175" t="str">
        <x:v>NA/0570/26-27</x:v>
      </x:c>
      <x:c r="D175" s="7" t="n">
        <x:v>14599</x:v>
      </x:c>
      <x:c r="E175" s="6" t="n">
        <x:v>46156</x:v>
      </x:c>
      <x:c r="F175" t="n">
        <x:f>TODAY()-E175</x:f>
        <x:v>79</x:v>
      </x:c>
      <x:c r="G175" s="7" t="n">
        <x:f>SUMIF($B$5:$B$563,B175,$D$5:$D$563)</x:f>
        <x:v>238111</x:v>
      </x:c>
    </x:row>
    <x:row r="176">
      <x:c r="A176" s="6" t="n">
        <x:v>46156</x:v>
      </x:c>
      <x:c r="B176" t="str">
        <x:v>Coimbatore Machinery &amp; Metal Mart</x:v>
      </x:c>
      <x:c r="C176" t="str">
        <x:v>NA/0562/26-27</x:v>
      </x:c>
      <x:c r="D176" s="7" t="n">
        <x:v>225</x:v>
      </x:c>
      <x:c r="E176" s="6" t="n">
        <x:v>46156</x:v>
      </x:c>
      <x:c r="F176" t="n">
        <x:f>TODAY()-E176</x:f>
        <x:v>79</x:v>
      </x:c>
      <x:c r="G176" s="7" t="n">
        <x:f>SUMIF($B$5:$B$563,B176,$D$5:$D$563)</x:f>
        <x:v>2464</x:v>
      </x:c>
    </x:row>
    <x:row r="177">
      <x:c r="A177" s="6" t="n">
        <x:v>46156</x:v>
      </x:c>
      <x:c r="B177" t="str">
        <x:v>Fahi Q Innovation</x:v>
      </x:c>
      <x:c r="C177" t="str">
        <x:v>NA/0563/26-27</x:v>
      </x:c>
      <x:c r="D177" s="7" t="n">
        <x:v>29736</x:v>
      </x:c>
      <x:c r="E177" s="6" t="n">
        <x:v>46156</x:v>
      </x:c>
      <x:c r="F177" t="n">
        <x:f>TODAY()-E177</x:f>
        <x:v>79</x:v>
      </x:c>
      <x:c r="G177" s="7" t="n">
        <x:f>SUMIF($B$5:$B$563,B177,$D$5:$D$563)</x:f>
        <x:v>68959</x:v>
      </x:c>
    </x:row>
    <x:row r="178">
      <x:c r="A178" s="6" t="n">
        <x:v>46156</x:v>
      </x:c>
      <x:c r="B178" t="str">
        <x:v>South India Trading Company</x:v>
      </x:c>
      <x:c r="C178" t="str">
        <x:v>NA/0557/26-27</x:v>
      </x:c>
      <x:c r="D178" s="7" t="n">
        <x:v>1760</x:v>
      </x:c>
      <x:c r="E178" s="6" t="n">
        <x:v>46156</x:v>
      </x:c>
      <x:c r="F178" t="n">
        <x:f>TODAY()-E178</x:f>
        <x:v>79</x:v>
      </x:c>
      <x:c r="G178" s="7" t="n">
        <x:f>SUMIF($B$5:$B$563,B178,$D$5:$D$563)</x:f>
        <x:v>2092</x:v>
      </x:c>
    </x:row>
    <x:row r="179">
      <x:c r="A179" s="6" t="n">
        <x:v>46157</x:v>
      </x:c>
      <x:c r="B179" t="str">
        <x:v>Burhani Traders</x:v>
      </x:c>
      <x:c r="C179" t="str">
        <x:v>NA/0585/26-27</x:v>
      </x:c>
      <x:c r="D179" s="7" t="n">
        <x:v>10000</x:v>
      </x:c>
      <x:c r="E179" s="6" t="n">
        <x:v>46157</x:v>
      </x:c>
      <x:c r="F179" t="n">
        <x:f>TODAY()-E179</x:f>
        <x:v>78</x:v>
      </x:c>
      <x:c r="G179" s="7" t="n">
        <x:f>SUMIF($B$5:$B$563,B179,$D$5:$D$563)</x:f>
        <x:v>238111</x:v>
      </x:c>
    </x:row>
    <x:row r="180">
      <x:c r="A180" s="6" t="n">
        <x:v>46157</x:v>
      </x:c>
      <x:c r="B180" t="str">
        <x:v>Safeboy Safety Solutions</x:v>
      </x:c>
      <x:c r="C180" t="str">
        <x:v>NA/0596/26-27</x:v>
      </x:c>
      <x:c r="D180" s="7" t="n">
        <x:v>176</x:v>
      </x:c>
      <x:c r="E180" s="6" t="n">
        <x:v>46157</x:v>
      </x:c>
      <x:c r="F180" t="n">
        <x:f>TODAY()-E180</x:f>
        <x:v>78</x:v>
      </x:c>
      <x:c r="G180" s="7" t="n">
        <x:f>SUMIF($B$5:$B$563,B180,$D$5:$D$563)</x:f>
        <x:v>22276</x:v>
      </x:c>
    </x:row>
    <x:row r="181">
      <x:c r="A181" s="6" t="n">
        <x:v>46157</x:v>
      </x:c>
      <x:c r="B181" t="str">
        <x:v>Unique Wire Ropes &amp; Tackles</x:v>
      </x:c>
      <x:c r="C181" t="str">
        <x:v>NA/0591/26-27</x:v>
      </x:c>
      <x:c r="D181" s="7" t="n">
        <x:v>368</x:v>
      </x:c>
      <x:c r="E181" s="6" t="n">
        <x:v>46157</x:v>
      </x:c>
      <x:c r="F181" t="n">
        <x:f>TODAY()-E181</x:f>
        <x:v>78</x:v>
      </x:c>
      <x:c r="G181" s="7" t="n">
        <x:f>SUMIF($B$5:$B$563,B181,$D$5:$D$563)</x:f>
        <x:v>86975</x:v>
      </x:c>
    </x:row>
    <x:row r="182">
      <x:c r="A182" s="6" t="n">
        <x:v>46158</x:v>
      </x:c>
      <x:c r="B182" t="str">
        <x:v>Alif Traders</x:v>
      </x:c>
      <x:c r="C182" t="str">
        <x:v>NA/0613/26-27</x:v>
      </x:c>
      <x:c r="D182" s="7" t="n">
        <x:v>795</x:v>
      </x:c>
      <x:c r="E182" s="6" t="n">
        <x:v>46158</x:v>
      </x:c>
      <x:c r="F182" t="n">
        <x:f>TODAY()-E182</x:f>
        <x:v>77</x:v>
      </x:c>
      <x:c r="G182" s="7" t="n">
        <x:f>SUMIF($B$5:$B$563,B182,$D$5:$D$563)</x:f>
        <x:v>119404</x:v>
      </x:c>
    </x:row>
    <x:row r="183">
      <x:c r="A183" s="6" t="n">
        <x:v>46158</x:v>
      </x:c>
      <x:c r="B183" t="str">
        <x:v>Auto Mech Tools</x:v>
      </x:c>
      <x:c r="C183" t="str">
        <x:v>NA/0617/26-27</x:v>
      </x:c>
      <x:c r="D183" s="7" t="n">
        <x:v>6826</x:v>
      </x:c>
      <x:c r="E183" s="6" t="n">
        <x:v>46158</x:v>
      </x:c>
      <x:c r="F183" t="n">
        <x:f>TODAY()-E183</x:f>
        <x:v>77</x:v>
      </x:c>
      <x:c r="G183" s="7" t="n">
        <x:f>SUMIF($B$5:$B$563,B183,$D$5:$D$563)</x:f>
        <x:v>92608</x:v>
      </x:c>
    </x:row>
    <x:row r="184">
      <x:c r="A184" s="6" t="n">
        <x:v>46158</x:v>
      </x:c>
      <x:c r="B184" t="str">
        <x:v>BEST MACHINERY SUPPLIER</x:v>
      </x:c>
      <x:c r="C184" t="str">
        <x:v>NA/0610/26-27</x:v>
      </x:c>
      <x:c r="D184" s="7" t="n">
        <x:v>29174</x:v>
      </x:c>
      <x:c r="E184" s="6" t="n">
        <x:v>46158</x:v>
      </x:c>
      <x:c r="F184" t="n">
        <x:f>TODAY()-E184</x:f>
        <x:v>77</x:v>
      </x:c>
      <x:c r="G184" s="7" t="n">
        <x:f>SUMIF($B$5:$B$563,B184,$D$5:$D$563)</x:f>
        <x:v>66140</x:v>
      </x:c>
    </x:row>
    <x:row r="185">
      <x:c r="A185" s="6" t="n">
        <x:v>46158</x:v>
      </x:c>
      <x:c r="B185" t="str">
        <x:v>Evershine Enterprises</x:v>
      </x:c>
      <x:c r="C185" t="str">
        <x:v>NA/0606/26-27</x:v>
      </x:c>
      <x:c r="D185" s="7" t="n">
        <x:v>2020</x:v>
      </x:c>
      <x:c r="E185" s="6" t="n">
        <x:v>46158</x:v>
      </x:c>
      <x:c r="F185" t="n">
        <x:f>TODAY()-E185</x:f>
        <x:v>77</x:v>
      </x:c>
      <x:c r="G185" s="7" t="n">
        <x:f>SUMIF($B$5:$B$563,B185,$D$5:$D$563)</x:f>
        <x:v>53111</x:v>
      </x:c>
    </x:row>
    <x:row r="186">
      <x:c r="A186" s="6" t="n">
        <x:v>46158</x:v>
      </x:c>
      <x:c r="B186" t="str">
        <x:v>Pioneer Engineering</x:v>
      </x:c>
      <x:c r="C186" t="str">
        <x:v>NA/0601/26-27</x:v>
      </x:c>
      <x:c r="D186" s="7" t="n">
        <x:v>17175</x:v>
      </x:c>
      <x:c r="E186" s="6" t="n">
        <x:v>46158</x:v>
      </x:c>
      <x:c r="F186" t="n">
        <x:f>TODAY()-E186</x:f>
        <x:v>77</x:v>
      </x:c>
      <x:c r="G186" s="7" t="n">
        <x:f>SUMIF($B$5:$B$563,B186,$D$5:$D$563)</x:f>
        <x:v>17175</x:v>
      </x:c>
    </x:row>
    <x:row r="187">
      <x:c r="A187" s="6" t="n">
        <x:v>46158</x:v>
      </x:c>
      <x:c r="B187" t="str">
        <x:v>PRS AGENCIES</x:v>
      </x:c>
      <x:c r="C187" t="str">
        <x:v>NA/0627/26-27</x:v>
      </x:c>
      <x:c r="D187" s="7" t="n">
        <x:v>1671</x:v>
      </x:c>
      <x:c r="E187" s="6" t="n">
        <x:v>46158</x:v>
      </x:c>
      <x:c r="F187" t="n">
        <x:f>TODAY()-E187</x:f>
        <x:v>77</x:v>
      </x:c>
      <x:c r="G187" s="7" t="n">
        <x:f>SUMIF($B$5:$B$563,B187,$D$5:$D$563)</x:f>
        <x:v>1671</x:v>
      </x:c>
    </x:row>
    <x:row r="188">
      <x:c r="A188" s="6" t="n">
        <x:v>46160</x:v>
      </x:c>
      <x:c r="B188" t="str">
        <x:v>Burhani Traders</x:v>
      </x:c>
      <x:c r="C188" t="str">
        <x:v>NA/0630/26-27</x:v>
      </x:c>
      <x:c r="D188" s="7" t="n">
        <x:v>8400</x:v>
      </x:c>
      <x:c r="E188" s="6" t="n">
        <x:v>46160</x:v>
      </x:c>
      <x:c r="F188" t="n">
        <x:f>TODAY()-E188</x:f>
        <x:v>75</x:v>
      </x:c>
      <x:c r="G188" s="7" t="n">
        <x:f>SUMIF($B$5:$B$563,B188,$D$5:$D$563)</x:f>
        <x:v>238111</x:v>
      </x:c>
    </x:row>
    <x:row r="189">
      <x:c r="A189" s="6" t="n">
        <x:v>46161</x:v>
      </x:c>
      <x:c r="B189" t="str">
        <x:v>SSTG TECHNOLOGIES INDIA PRIVATE LIMITED</x:v>
      </x:c>
      <x:c r="C189" t="str">
        <x:v>NA/0648/26-27</x:v>
      </x:c>
      <x:c r="D189" s="7" t="n">
        <x:v>2644</x:v>
      </x:c>
      <x:c r="E189" s="6" t="n">
        <x:v>46161</x:v>
      </x:c>
      <x:c r="F189" t="n">
        <x:f>TODAY()-E189</x:f>
        <x:v>74</x:v>
      </x:c>
      <x:c r="G189" s="7" t="n">
        <x:f>SUMIF($B$5:$B$563,B189,$D$5:$D$563)</x:f>
        <x:v>109542</x:v>
      </x:c>
    </x:row>
    <x:row r="190">
      <x:c r="A190" s="6" t="n">
        <x:v>46161</x:v>
      </x:c>
      <x:c r="B190" t="str">
        <x:v>Unique Wire Ropes &amp; Tackles</x:v>
      </x:c>
      <x:c r="C190" t="str">
        <x:v>NA/0652/26-27</x:v>
      </x:c>
      <x:c r="D190" s="7" t="n">
        <x:v>10500</x:v>
      </x:c>
      <x:c r="E190" s="6" t="n">
        <x:v>46161</x:v>
      </x:c>
      <x:c r="F190" t="n">
        <x:f>TODAY()-E190</x:f>
        <x:v>74</x:v>
      </x:c>
      <x:c r="G190" s="7" t="n">
        <x:f>SUMIF($B$5:$B$563,B190,$D$5:$D$563)</x:f>
        <x:v>86975</x:v>
      </x:c>
    </x:row>
    <x:row r="191">
      <x:c r="A191" s="6" t="n">
        <x:v>46162</x:v>
      </x:c>
      <x:c r="B191" t="str">
        <x:v>Lemniscate Associates</x:v>
      </x:c>
      <x:c r="C191" t="str">
        <x:v>NA/0671/26-27</x:v>
      </x:c>
      <x:c r="D191" s="7" t="n">
        <x:v>720</x:v>
      </x:c>
      <x:c r="E191" s="6" t="n">
        <x:v>46162</x:v>
      </x:c>
      <x:c r="F191" t="n">
        <x:f>TODAY()-E191</x:f>
        <x:v>73</x:v>
      </x:c>
      <x:c r="G191" s="7" t="n">
        <x:f>SUMIF($B$5:$B$563,B191,$D$5:$D$563)</x:f>
        <x:v>8114</x:v>
      </x:c>
    </x:row>
    <x:row r="192">
      <x:c r="A192" s="6" t="n">
        <x:v>46163</x:v>
      </x:c>
      <x:c r="B192" t="str">
        <x:v>IAMAX Precision India Pvt Ltd</x:v>
      </x:c>
      <x:c r="C192" t="str">
        <x:v>NA/0682/26-27</x:v>
      </x:c>
      <x:c r="D192" s="7" t="n">
        <x:v>13937</x:v>
      </x:c>
      <x:c r="E192" s="6" t="n">
        <x:v>46163</x:v>
      </x:c>
      <x:c r="F192" t="n">
        <x:f>TODAY()-E192</x:f>
        <x:v>72</x:v>
      </x:c>
      <x:c r="G192" s="7" t="n">
        <x:f>SUMIF($B$5:$B$563,B192,$D$5:$D$563)</x:f>
        <x:v>66432</x:v>
      </x:c>
    </x:row>
    <x:row r="193">
      <x:c r="A193" s="6" t="n">
        <x:v>46163</x:v>
      </x:c>
      <x:c r="B193" t="str">
        <x:v>Sardha Enterprises</x:v>
      </x:c>
      <x:c r="C193" t="str">
        <x:v>NA/0678/26-27</x:v>
      </x:c>
      <x:c r="D193" s="7" t="n">
        <x:v>620</x:v>
      </x:c>
      <x:c r="E193" s="6" t="n">
        <x:v>46163</x:v>
      </x:c>
      <x:c r="F193" t="n">
        <x:f>TODAY()-E193</x:f>
        <x:v>72</x:v>
      </x:c>
      <x:c r="G193" s="7" t="n">
        <x:f>SUMIF($B$5:$B$563,B193,$D$5:$D$563)</x:f>
        <x:v>1659</x:v>
      </x:c>
    </x:row>
    <x:row r="194">
      <x:c r="A194" s="6" t="n">
        <x:v>46164</x:v>
      </x:c>
      <x:c r="B194" t="str">
        <x:v>Salem Pipe Traders</x:v>
      </x:c>
      <x:c r="C194" t="str">
        <x:v>NA/0710/26-27</x:v>
      </x:c>
      <x:c r="D194" s="7" t="n">
        <x:v>10256</x:v>
      </x:c>
      <x:c r="E194" s="6" t="n">
        <x:v>46164</x:v>
      </x:c>
      <x:c r="F194" t="n">
        <x:f>TODAY()-E194</x:f>
        <x:v>71</x:v>
      </x:c>
      <x:c r="G194" s="7" t="n">
        <x:f>SUMIF($B$5:$B$563,B194,$D$5:$D$563)</x:f>
        <x:v>61020</x:v>
      </x:c>
    </x:row>
    <x:row r="195">
      <x:c r="A195" s="6" t="n">
        <x:v>46165</x:v>
      </x:c>
      <x:c r="B195" t="str">
        <x:v>Auto Mech Tools</x:v>
      </x:c>
      <x:c r="C195" t="str">
        <x:v>NA/0730/26-27</x:v>
      </x:c>
      <x:c r="D195" s="7" t="n">
        <x:v>7504</x:v>
      </x:c>
      <x:c r="E195" s="6" t="n">
        <x:v>46165</x:v>
      </x:c>
      <x:c r="F195" t="n">
        <x:f>TODAY()-E195</x:f>
        <x:v>70</x:v>
      </x:c>
      <x:c r="G195" s="7" t="n">
        <x:f>SUMIF($B$5:$B$563,B195,$D$5:$D$563)</x:f>
        <x:v>92608</x:v>
      </x:c>
    </x:row>
    <x:row r="196">
      <x:c r="A196" s="6" t="n">
        <x:v>46165</x:v>
      </x:c>
      <x:c r="B196" t="str">
        <x:v>Auto Mech Tools</x:v>
      </x:c>
      <x:c r="C196" t="str">
        <x:v>NA/0749/26-27</x:v>
      </x:c>
      <x:c r="D196" s="7" t="n">
        <x:v>7637</x:v>
      </x:c>
      <x:c r="E196" s="6" t="n">
        <x:v>46165</x:v>
      </x:c>
      <x:c r="F196" t="n">
        <x:f>TODAY()-E196</x:f>
        <x:v>70</x:v>
      </x:c>
      <x:c r="G196" s="7" t="n">
        <x:f>SUMIF($B$5:$B$563,B196,$D$5:$D$563)</x:f>
        <x:v>92608</x:v>
      </x:c>
    </x:row>
    <x:row r="197">
      <x:c r="A197" s="6" t="n">
        <x:v>46165</x:v>
      </x:c>
      <x:c r="B197" t="str">
        <x:v>BEST MACHINERY SUPPLIER</x:v>
      </x:c>
      <x:c r="C197" t="str">
        <x:v>NA/0728/26-27</x:v>
      </x:c>
      <x:c r="D197" s="7" t="n">
        <x:v>231</x:v>
      </x:c>
      <x:c r="E197" s="6" t="n">
        <x:v>46165</x:v>
      </x:c>
      <x:c r="F197" t="n">
        <x:f>TODAY()-E197</x:f>
        <x:v>70</x:v>
      </x:c>
      <x:c r="G197" s="7" t="n">
        <x:f>SUMIF($B$5:$B$563,B197,$D$5:$D$563)</x:f>
        <x:v>66140</x:v>
      </x:c>
    </x:row>
    <x:row r="198">
      <x:c r="A198" s="6" t="n">
        <x:v>46165</x:v>
      </x:c>
      <x:c r="B198" t="str">
        <x:v>Burhani Traders</x:v>
      </x:c>
      <x:c r="C198" t="str">
        <x:v>NA/0724/26-27</x:v>
      </x:c>
      <x:c r="D198" s="7" t="n">
        <x:v>1550</x:v>
      </x:c>
      <x:c r="E198" s="6" t="n">
        <x:v>46165</x:v>
      </x:c>
      <x:c r="F198" t="n">
        <x:f>TODAY()-E198</x:f>
        <x:v>70</x:v>
      </x:c>
      <x:c r="G198" s="7" t="n">
        <x:f>SUMIF($B$5:$B$563,B198,$D$5:$D$563)</x:f>
        <x:v>238111</x:v>
      </x:c>
    </x:row>
    <x:row r="199">
      <x:c r="A199" s="6" t="n">
        <x:v>46165</x:v>
      </x:c>
      <x:c r="B199" t="str">
        <x:v>Modern Enterprises</x:v>
      </x:c>
      <x:c r="C199" t="str">
        <x:v>NA/0725/26-27</x:v>
      </x:c>
      <x:c r="D199" s="7" t="n">
        <x:v>12436</x:v>
      </x:c>
      <x:c r="E199" s="6" t="n">
        <x:v>46165</x:v>
      </x:c>
      <x:c r="F199" t="n">
        <x:f>TODAY()-E199</x:f>
        <x:v>70</x:v>
      </x:c>
      <x:c r="G199" s="7" t="n">
        <x:f>SUMIF($B$5:$B$563,B199,$D$5:$D$563)</x:f>
        <x:v>112332</x:v>
      </x:c>
    </x:row>
    <x:row r="200">
      <x:c r="A200" s="6" t="n">
        <x:v>46165</x:v>
      </x:c>
      <x:c r="B200" t="str">
        <x:v>South Coast Enterprises</x:v>
      </x:c>
      <x:c r="C200" t="str">
        <x:v>NA/0732/26-27</x:v>
      </x:c>
      <x:c r="D200" s="7" t="n">
        <x:v>721</x:v>
      </x:c>
      <x:c r="E200" s="6" t="n">
        <x:v>46165</x:v>
      </x:c>
      <x:c r="F200" t="n">
        <x:f>TODAY()-E200</x:f>
        <x:v>70</x:v>
      </x:c>
      <x:c r="G200" s="7" t="n">
        <x:f>SUMIF($B$5:$B$563,B200,$D$5:$D$563)</x:f>
        <x:v>14037</x:v>
      </x:c>
    </x:row>
    <x:row r="201">
      <x:c r="A201" s="6" t="n">
        <x:v>46165</x:v>
      </x:c>
      <x:c r="B201" t="str">
        <x:v>Sri Meenakshi Hardware and Tools</x:v>
      </x:c>
      <x:c r="C201" t="str">
        <x:v>NA/0729/26-27</x:v>
      </x:c>
      <x:c r="D201" s="7" t="n">
        <x:v>3000</x:v>
      </x:c>
      <x:c r="E201" s="6" t="n">
        <x:v>46165</x:v>
      </x:c>
      <x:c r="F201" t="n">
        <x:f>TODAY()-E201</x:f>
        <x:v>70</x:v>
      </x:c>
      <x:c r="G201" s="7" t="n">
        <x:f>SUMIF($B$5:$B$563,B201,$D$5:$D$563)</x:f>
        <x:v>158534</x:v>
      </x:c>
    </x:row>
    <x:row r="202">
      <x:c r="A202" s="6" t="n">
        <x:v>46165</x:v>
      </x:c>
      <x:c r="B202" t="str">
        <x:v>SSTG TECHNOLOGIES INDIA PRIVATE LIMITED</x:v>
      </x:c>
      <x:c r="C202" t="str">
        <x:v>NA/0721/26-27</x:v>
      </x:c>
      <x:c r="D202" s="7" t="n">
        <x:v>2714</x:v>
      </x:c>
      <x:c r="E202" s="6" t="n">
        <x:v>46165</x:v>
      </x:c>
      <x:c r="F202" t="n">
        <x:f>TODAY()-E202</x:f>
        <x:v>70</x:v>
      </x:c>
      <x:c r="G202" s="7" t="n">
        <x:f>SUMIF($B$5:$B$563,B202,$D$5:$D$563)</x:f>
        <x:v>109542</x:v>
      </x:c>
    </x:row>
    <x:row r="203">
      <x:c r="A203" s="6" t="n">
        <x:v>46165</x:v>
      </x:c>
      <x:c r="B203" t="str">
        <x:v>TOOLCOM INNOVATIVE SOLUTIONS PRIVATE LIMITED</x:v>
      </x:c>
      <x:c r="C203" t="str">
        <x:v>NA/0741/26-27</x:v>
      </x:c>
      <x:c r="D203" s="7" t="n">
        <x:v>3599</x:v>
      </x:c>
      <x:c r="E203" s="6" t="n">
        <x:v>46165</x:v>
      </x:c>
      <x:c r="F203" t="n">
        <x:f>TODAY()-E203</x:f>
        <x:v>70</x:v>
      </x:c>
      <x:c r="G203" s="7" t="n">
        <x:f>SUMIF($B$5:$B$563,B203,$D$5:$D$563)</x:f>
        <x:v>19046</x:v>
      </x:c>
    </x:row>
    <x:row r="204">
      <x:c r="A204" s="6" t="n">
        <x:v>46165</x:v>
      </x:c>
      <x:c r="B204" t="str">
        <x:v>Unique Wire Ropes &amp; Tackles</x:v>
      </x:c>
      <x:c r="C204" t="str">
        <x:v>NA/0735/26-27</x:v>
      </x:c>
      <x:c r="D204" s="7" t="n">
        <x:v>420</x:v>
      </x:c>
      <x:c r="E204" s="6" t="n">
        <x:v>46165</x:v>
      </x:c>
      <x:c r="F204" t="n">
        <x:f>TODAY()-E204</x:f>
        <x:v>70</x:v>
      </x:c>
      <x:c r="G204" s="7" t="n">
        <x:f>SUMIF($B$5:$B$563,B204,$D$5:$D$563)</x:f>
        <x:v>86975</x:v>
      </x:c>
    </x:row>
    <x:row r="205">
      <x:c r="A205" s="6" t="n">
        <x:v>46165</x:v>
      </x:c>
      <x:c r="B205" t="str">
        <x:v>Unique Wire Ropes &amp; Tackles</x:v>
      </x:c>
      <x:c r="C205" t="str">
        <x:v>NA/0736/26-27</x:v>
      </x:c>
      <x:c r="D205" s="7" t="n">
        <x:v>1400</x:v>
      </x:c>
      <x:c r="E205" s="6" t="n">
        <x:v>46165</x:v>
      </x:c>
      <x:c r="F205" t="n">
        <x:f>TODAY()-E205</x:f>
        <x:v>70</x:v>
      </x:c>
      <x:c r="G205" s="7" t="n">
        <x:f>SUMIF($B$5:$B$563,B205,$D$5:$D$563)</x:f>
        <x:v>86975</x:v>
      </x:c>
    </x:row>
    <x:row r="206">
      <x:c r="A206" s="6" t="n">
        <x:v>46165</x:v>
      </x:c>
      <x:c r="B206" t="str">
        <x:v>Unique Wire Ropes &amp; Tackles</x:v>
      </x:c>
      <x:c r="C206" t="str">
        <x:v>NA/0751/26-27</x:v>
      </x:c>
      <x:c r="D206" s="7" t="n">
        <x:v>700</x:v>
      </x:c>
      <x:c r="E206" s="6" t="n">
        <x:v>46165</x:v>
      </x:c>
      <x:c r="F206" t="n">
        <x:f>TODAY()-E206</x:f>
        <x:v>70</x:v>
      </x:c>
      <x:c r="G206" s="7" t="n">
        <x:f>SUMIF($B$5:$B$563,B206,$D$5:$D$563)</x:f>
        <x:v>86975</x:v>
      </x:c>
    </x:row>
    <x:row r="207">
      <x:c r="A207" s="6" t="n">
        <x:v>46168</x:v>
      </x:c>
      <x:c r="B207" t="str">
        <x:v>B M Trade Links</x:v>
      </x:c>
      <x:c r="C207" t="str">
        <x:v>NA/0771/26-27</x:v>
      </x:c>
      <x:c r="D207" s="7" t="n">
        <x:v>4847</x:v>
      </x:c>
      <x:c r="E207" s="6" t="n">
        <x:v>46168</x:v>
      </x:c>
      <x:c r="F207" t="n">
        <x:f>TODAY()-E207</x:f>
        <x:v>67</x:v>
      </x:c>
      <x:c r="G207" s="7" t="n">
        <x:f>SUMIF($B$5:$B$563,B207,$D$5:$D$563)</x:f>
        <x:v>23286</x:v>
      </x:c>
    </x:row>
    <x:row r="208">
      <x:c r="A208" s="6" t="n">
        <x:v>46169</x:v>
      </x:c>
      <x:c r="B208" t="str">
        <x:v>Tee Y Lifting Solutions</x:v>
      </x:c>
      <x:c r="C208" t="str">
        <x:v>NA/0796/26-27</x:v>
      </x:c>
      <x:c r="D208" s="7" t="n">
        <x:v>43881</x:v>
      </x:c>
      <x:c r="E208" s="6" t="n">
        <x:v>46169</x:v>
      </x:c>
      <x:c r="F208" t="n">
        <x:f>TODAY()-E208</x:f>
        <x:v>66</x:v>
      </x:c>
      <x:c r="G208" s="7" t="n">
        <x:f>SUMIF($B$5:$B$563,B208,$D$5:$D$563)</x:f>
        <x:v>43881</x:v>
      </x:c>
    </x:row>
    <x:row r="209">
      <x:c r="A209" s="6" t="n">
        <x:v>46170</x:v>
      </x:c>
      <x:c r="B209" t="str">
        <x:v>Unique Wire Ropes &amp; Tackles</x:v>
      </x:c>
      <x:c r="C209" t="str">
        <x:v>NA/0811/26-27</x:v>
      </x:c>
      <x:c r="D209" s="7" t="n">
        <x:v>5775</x:v>
      </x:c>
      <x:c r="E209" s="6" t="n">
        <x:v>46170</x:v>
      </x:c>
      <x:c r="F209" t="n">
        <x:f>TODAY()-E209</x:f>
        <x:v>65</x:v>
      </x:c>
      <x:c r="G209" s="7" t="n">
        <x:f>SUMIF($B$5:$B$563,B209,$D$5:$D$563)</x:f>
        <x:v>86975</x:v>
      </x:c>
    </x:row>
    <x:row r="210">
      <x:c r="A210" s="6" t="n">
        <x:v>46172</x:v>
      </x:c>
      <x:c r="B210" t="str">
        <x:v>ALIF &amp; CO</x:v>
      </x:c>
      <x:c r="C210" t="str">
        <x:v>NA/0841/26-27</x:v>
      </x:c>
      <x:c r="D210" s="7" t="n">
        <x:v>4800</x:v>
      </x:c>
      <x:c r="E210" s="6" t="n">
        <x:v>46172</x:v>
      </x:c>
      <x:c r="F210" t="n">
        <x:f>TODAY()-E210</x:f>
        <x:v>63</x:v>
      </x:c>
      <x:c r="G210" s="7" t="n">
        <x:f>SUMIF($B$5:$B$563,B210,$D$5:$D$563)</x:f>
        <x:v>4800</x:v>
      </x:c>
    </x:row>
    <x:row r="211">
      <x:c r="A211" s="6" t="n">
        <x:v>46172</x:v>
      </x:c>
      <x:c r="B211" t="str">
        <x:v>Alif Traders</x:v>
      </x:c>
      <x:c r="C211" t="str">
        <x:v>NA/0830/26-27</x:v>
      </x:c>
      <x:c r="D211" s="7" t="n">
        <x:v>13500</x:v>
      </x:c>
      <x:c r="E211" s="6" t="n">
        <x:v>46172</x:v>
      </x:c>
      <x:c r="F211" t="n">
        <x:f>TODAY()-E211</x:f>
        <x:v>63</x:v>
      </x:c>
      <x:c r="G211" s="7" t="n">
        <x:f>SUMIF($B$5:$B$563,B211,$D$5:$D$563)</x:f>
        <x:v>119404</x:v>
      </x:c>
    </x:row>
    <x:row r="212">
      <x:c r="A212" s="6" t="n">
        <x:v>46172</x:v>
      </x:c>
      <x:c r="B212" t="str">
        <x:v>BEST MACHINERY SUPPLIER</x:v>
      </x:c>
      <x:c r="C212" t="str">
        <x:v>NA/0831/26-27</x:v>
      </x:c>
      <x:c r="D212" s="7" t="n">
        <x:v>24194</x:v>
      </x:c>
      <x:c r="E212" s="6" t="n">
        <x:v>46172</x:v>
      </x:c>
      <x:c r="F212" t="n">
        <x:f>TODAY()-E212</x:f>
        <x:v>63</x:v>
      </x:c>
      <x:c r="G212" s="7" t="n">
        <x:f>SUMIF($B$5:$B$563,B212,$D$5:$D$563)</x:f>
        <x:v>66140</x:v>
      </x:c>
    </x:row>
    <x:row r="213">
      <x:c r="A213" s="6" t="n">
        <x:v>46172</x:v>
      </x:c>
      <x:c r="B213" t="str">
        <x:v>BURHANI INDUSTRIAL MART</x:v>
      </x:c>
      <x:c r="C213" t="str">
        <x:v>NA/0837/26-27</x:v>
      </x:c>
      <x:c r="D213" s="7" t="n">
        <x:v>1576</x:v>
      </x:c>
      <x:c r="E213" s="6" t="n">
        <x:v>46172</x:v>
      </x:c>
      <x:c r="F213" t="n">
        <x:f>TODAY()-E213</x:f>
        <x:v>63</x:v>
      </x:c>
      <x:c r="G213" s="7" t="n">
        <x:f>SUMIF($B$5:$B$563,B213,$D$5:$D$563)</x:f>
        <x:v>6000</x:v>
      </x:c>
    </x:row>
    <x:row r="214">
      <x:c r="A214" s="6" t="n">
        <x:v>46172</x:v>
      </x:c>
      <x:c r="B214" t="str">
        <x:v>Burhani Traders</x:v>
      </x:c>
      <x:c r="C214" t="str">
        <x:v>NA/0838/26-27</x:v>
      </x:c>
      <x:c r="D214" s="7" t="n">
        <x:v>2107</x:v>
      </x:c>
      <x:c r="E214" s="6" t="n">
        <x:v>46172</x:v>
      </x:c>
      <x:c r="F214" t="n">
        <x:f>TODAY()-E214</x:f>
        <x:v>63</x:v>
      </x:c>
      <x:c r="G214" s="7" t="n">
        <x:f>SUMIF($B$5:$B$563,B214,$D$5:$D$563)</x:f>
        <x:v>238111</x:v>
      </x:c>
    </x:row>
    <x:row r="215">
      <x:c r="A215" s="6" t="n">
        <x:v>46172</x:v>
      </x:c>
      <x:c r="B215" t="str">
        <x:v>Evershine Enterprises</x:v>
      </x:c>
      <x:c r="C215" t="str">
        <x:v>NA/0826/26-27</x:v>
      </x:c>
      <x:c r="D215" s="7" t="n">
        <x:v>1363</x:v>
      </x:c>
      <x:c r="E215" s="6" t="n">
        <x:v>46172</x:v>
      </x:c>
      <x:c r="F215" t="n">
        <x:f>TODAY()-E215</x:f>
        <x:v>63</x:v>
      </x:c>
      <x:c r="G215" s="7" t="n">
        <x:f>SUMIF($B$5:$B$563,B215,$D$5:$D$563)</x:f>
        <x:v>53111</x:v>
      </x:c>
    </x:row>
    <x:row r="216">
      <x:c r="A216" s="6" t="n">
        <x:v>46172</x:v>
      </x:c>
      <x:c r="B216" t="str">
        <x:v>Modern Enterprises</x:v>
      </x:c>
      <x:c r="C216" t="str">
        <x:v>NA/0834/26-27</x:v>
      </x:c>
      <x:c r="D216" s="7" t="n">
        <x:v>4257</x:v>
      </x:c>
      <x:c r="E216" s="6" t="n">
        <x:v>46172</x:v>
      </x:c>
      <x:c r="F216" t="n">
        <x:f>TODAY()-E216</x:f>
        <x:v>63</x:v>
      </x:c>
      <x:c r="G216" s="7" t="n">
        <x:f>SUMIF($B$5:$B$563,B216,$D$5:$D$563)</x:f>
        <x:v>112332</x:v>
      </x:c>
    </x:row>
    <x:row r="217">
      <x:c r="A217" s="6" t="n">
        <x:v>46172</x:v>
      </x:c>
      <x:c r="B217" t="str">
        <x:v>Noor Traders</x:v>
      </x:c>
      <x:c r="C217" t="str">
        <x:v>NA/0842/26-27</x:v>
      </x:c>
      <x:c r="D217" s="7" t="n">
        <x:v>20670</x:v>
      </x:c>
      <x:c r="E217" s="6" t="n">
        <x:v>46172</x:v>
      </x:c>
      <x:c r="F217" t="n">
        <x:f>TODAY()-E217</x:f>
        <x:v>63</x:v>
      </x:c>
      <x:c r="G217" s="7" t="n">
        <x:f>SUMIF($B$5:$B$563,B217,$D$5:$D$563)</x:f>
        <x:v>108563</x:v>
      </x:c>
    </x:row>
    <x:row r="218">
      <x:c r="A218" s="6" t="n">
        <x:v>46172</x:v>
      </x:c>
      <x:c r="B218" t="str">
        <x:v>Noor Traders</x:v>
      </x:c>
      <x:c r="C218" t="str">
        <x:v>NA/0851/26-27</x:v>
      </x:c>
      <x:c r="D218" s="7" t="n">
        <x:v>11800</x:v>
      </x:c>
      <x:c r="E218" s="6" t="n">
        <x:v>46172</x:v>
      </x:c>
      <x:c r="F218" t="n">
        <x:f>TODAY()-E218</x:f>
        <x:v>63</x:v>
      </x:c>
      <x:c r="G218" s="7" t="n">
        <x:f>SUMIF($B$5:$B$563,B218,$D$5:$D$563)</x:f>
        <x:v>108563</x:v>
      </x:c>
    </x:row>
    <x:row r="219">
      <x:c r="A219" s="6" t="n">
        <x:v>46172</x:v>
      </x:c>
      <x:c r="B219" t="str">
        <x:v>Sekar Engineering Works</x:v>
      </x:c>
      <x:c r="C219" t="str">
        <x:v>NA/0849/26-27</x:v>
      </x:c>
      <x:c r="D219" s="7" t="n">
        <x:v>1749</x:v>
      </x:c>
      <x:c r="E219" s="6" t="n">
        <x:v>46172</x:v>
      </x:c>
      <x:c r="F219" t="n">
        <x:f>TODAY()-E219</x:f>
        <x:v>63</x:v>
      </x:c>
      <x:c r="G219" s="7" t="n">
        <x:f>SUMIF($B$5:$B$563,B219,$D$5:$D$563)</x:f>
        <x:v>16423</x:v>
      </x:c>
    </x:row>
    <x:row r="220">
      <x:c r="A220" s="6" t="n">
        <x:v>46174</x:v>
      </x:c>
      <x:c r="B220" t="str">
        <x:v>Excellent Engineering Enterprises</x:v>
      </x:c>
      <x:c r="C220" t="str">
        <x:v>NA/0866/26-27</x:v>
      </x:c>
      <x:c r="D220" s="7" t="n">
        <x:v>30000</x:v>
      </x:c>
      <x:c r="E220" s="6" t="n">
        <x:v>46174</x:v>
      </x:c>
      <x:c r="F220" t="n">
        <x:f>TODAY()-E220</x:f>
        <x:v>61</x:v>
      </x:c>
      <x:c r="G220" s="7" t="n">
        <x:f>SUMIF($B$5:$B$563,B220,$D$5:$D$563)</x:f>
        <x:v>115200</x:v>
      </x:c>
    </x:row>
    <x:row r="221">
      <x:c r="A221" s="6" t="n">
        <x:v>46174</x:v>
      </x:c>
      <x:c r="B221" t="str">
        <x:v>IntegratedConveyors&amp;PaclineAutomationTechnologies</x:v>
      </x:c>
      <x:c r="C221" t="str">
        <x:v>NA/0859/26-27</x:v>
      </x:c>
      <x:c r="D221" s="7" t="n">
        <x:v>17699</x:v>
      </x:c>
      <x:c r="E221" s="6" t="n">
        <x:v>46174</x:v>
      </x:c>
      <x:c r="F221" t="n">
        <x:f>TODAY()-E221</x:f>
        <x:v>61</x:v>
      </x:c>
      <x:c r="G221" s="7" t="n">
        <x:f>SUMIF($B$5:$B$563,B221,$D$5:$D$563)</x:f>
        <x:v>78587</x:v>
      </x:c>
    </x:row>
    <x:row r="222">
      <x:c r="A222" s="6" t="n">
        <x:v>46174</x:v>
      </x:c>
      <x:c r="B222" t="str">
        <x:v>SHIVAM TRADERS</x:v>
      </x:c>
      <x:c r="C222" t="str">
        <x:v>NA/0858/26-27</x:v>
      </x:c>
      <x:c r="D222" s="7" t="n">
        <x:v>600</x:v>
      </x:c>
      <x:c r="E222" s="6" t="n">
        <x:v>46174</x:v>
      </x:c>
      <x:c r="F222" t="n">
        <x:f>TODAY()-E222</x:f>
        <x:v>61</x:v>
      </x:c>
      <x:c r="G222" s="7" t="n">
        <x:f>SUMIF($B$5:$B$563,B222,$D$5:$D$563)</x:f>
        <x:v>600</x:v>
      </x:c>
    </x:row>
    <x:row r="223">
      <x:c r="A223" s="6" t="n">
        <x:v>46174</x:v>
      </x:c>
      <x:c r="B223" t="str">
        <x:v>TOOLCOM INNOVATIVE SOLUTIONS PRIVATE LIMITED</x:v>
      </x:c>
      <x:c r="C223" t="str">
        <x:v>NA/0868/26-27</x:v>
      </x:c>
      <x:c r="D223" s="7" t="n">
        <x:v>1145</x:v>
      </x:c>
      <x:c r="E223" s="6" t="n">
        <x:v>46174</x:v>
      </x:c>
      <x:c r="F223" t="n">
        <x:f>TODAY()-E223</x:f>
        <x:v>61</x:v>
      </x:c>
      <x:c r="G223" s="7" t="n">
        <x:f>SUMIF($B$5:$B$563,B223,$D$5:$D$563)</x:f>
        <x:v>19046</x:v>
      </x:c>
    </x:row>
    <x:row r="224">
      <x:c r="A224" s="6" t="n">
        <x:v>46174</x:v>
      </x:c>
      <x:c r="B224" t="str">
        <x:v>TRUE VALUE SHOES AND SAFETY</x:v>
      </x:c>
      <x:c r="C224" t="str">
        <x:v>NA/0865/26-27</x:v>
      </x:c>
      <x:c r="D224" s="7" t="n">
        <x:v>5573</x:v>
      </x:c>
      <x:c r="E224" s="6" t="n">
        <x:v>46174</x:v>
      </x:c>
      <x:c r="F224" t="n">
        <x:f>TODAY()-E224</x:f>
        <x:v>61</x:v>
      </x:c>
      <x:c r="G224" s="7" t="n">
        <x:f>SUMIF($B$5:$B$563,B224,$D$5:$D$563)</x:f>
        <x:v>68445</x:v>
      </x:c>
    </x:row>
    <x:row r="225">
      <x:c r="A225" s="6" t="n">
        <x:v>46175</x:v>
      </x:c>
      <x:c r="B225" t="str">
        <x:v>Lemniscate Associates</x:v>
      </x:c>
      <x:c r="C225" t="str">
        <x:v>NA/0879/26-27</x:v>
      </x:c>
      <x:c r="D225" s="7" t="n">
        <x:v>1057</x:v>
      </x:c>
      <x:c r="E225" s="6" t="n">
        <x:v>46175</x:v>
      </x:c>
      <x:c r="F225" t="n">
        <x:f>TODAY()-E225</x:f>
        <x:v>60</x:v>
      </x:c>
      <x:c r="G225" s="7" t="n">
        <x:f>SUMIF($B$5:$B$563,B225,$D$5:$D$563)</x:f>
        <x:v>8114</x:v>
      </x:c>
    </x:row>
    <x:row r="226">
      <x:c r="A226" s="6" t="n">
        <x:v>46175</x:v>
      </x:c>
      <x:c r="B226" t="str">
        <x:v>SSTG TECHNOLOGIES INDIA PRIVATE LIMITED</x:v>
      </x:c>
      <x:c r="C226" t="str">
        <x:v>NA/0876/26-27</x:v>
      </x:c>
      <x:c r="D226" s="7" t="n">
        <x:v>11025</x:v>
      </x:c>
      <x:c r="E226" s="6" t="n">
        <x:v>46175</x:v>
      </x:c>
      <x:c r="F226" t="n">
        <x:f>TODAY()-E226</x:f>
        <x:v>60</x:v>
      </x:c>
      <x:c r="G226" s="7" t="n">
        <x:f>SUMIF($B$5:$B$563,B226,$D$5:$D$563)</x:f>
        <x:v>109542</x:v>
      </x:c>
    </x:row>
    <x:row r="227">
      <x:c r="A227" s="6" t="n">
        <x:v>46175</x:v>
      </x:c>
      <x:c r="B227" t="str">
        <x:v>TRUE VALUE SHOES AND SAFETY</x:v>
      </x:c>
      <x:c r="C227" t="str">
        <x:v>NA/0886/26-27</x:v>
      </x:c>
      <x:c r="D227" s="7" t="n">
        <x:v>4200</x:v>
      </x:c>
      <x:c r="E227" s="6" t="n">
        <x:v>46175</x:v>
      </x:c>
      <x:c r="F227" t="n">
        <x:f>TODAY()-E227</x:f>
        <x:v>60</x:v>
      </x:c>
      <x:c r="G227" s="7" t="n">
        <x:f>SUMIF($B$5:$B$563,B227,$D$5:$D$563)</x:f>
        <x:v>68445</x:v>
      </x:c>
    </x:row>
    <x:row r="228">
      <x:c r="A228" s="6" t="n">
        <x:v>46176</x:v>
      </x:c>
      <x:c r="B228" t="str">
        <x:v>S to Z Traders</x:v>
      </x:c>
      <x:c r="C228" t="str">
        <x:v>NA/0896/26-27</x:v>
      </x:c>
      <x:c r="D228" s="7" t="n">
        <x:v>16300</x:v>
      </x:c>
      <x:c r="E228" s="6" t="n">
        <x:v>46176</x:v>
      </x:c>
      <x:c r="F228" t="n">
        <x:f>TODAY()-E228</x:f>
        <x:v>59</x:v>
      </x:c>
      <x:c r="G228" s="7" t="n">
        <x:f>SUMIF($B$5:$B$563,B228,$D$5:$D$563)</x:f>
        <x:v>77473</x:v>
      </x:c>
    </x:row>
    <x:row r="229">
      <x:c r="A229" s="6" t="n">
        <x:v>46176</x:v>
      </x:c>
      <x:c r="B229" t="str">
        <x:v>Salem Pipe Traders</x:v>
      </x:c>
      <x:c r="C229" t="str">
        <x:v>NA/0888/26-27</x:v>
      </x:c>
      <x:c r="D229" s="7" t="n">
        <x:v>1782</x:v>
      </x:c>
      <x:c r="E229" s="6" t="n">
        <x:v>46176</x:v>
      </x:c>
      <x:c r="F229" t="n">
        <x:f>TODAY()-E229</x:f>
        <x:v>59</x:v>
      </x:c>
      <x:c r="G229" s="7" t="n">
        <x:f>SUMIF($B$5:$B$563,B229,$D$5:$D$563)</x:f>
        <x:v>61020</x:v>
      </x:c>
    </x:row>
    <x:row r="230">
      <x:c r="A230" s="6" t="n">
        <x:v>46177</x:v>
      </x:c>
      <x:c r="B230" t="str">
        <x:v>Modern Enterprises</x:v>
      </x:c>
      <x:c r="C230" t="str">
        <x:v>NA/0927/26-27</x:v>
      </x:c>
      <x:c r="D230" s="7" t="n">
        <x:v>22838</x:v>
      </x:c>
      <x:c r="E230" s="6" t="n">
        <x:v>46177</x:v>
      </x:c>
      <x:c r="F230" t="n">
        <x:f>TODAY()-E230</x:f>
        <x:v>58</x:v>
      </x:c>
      <x:c r="G230" s="7" t="n">
        <x:f>SUMIF($B$5:$B$563,B230,$D$5:$D$563)</x:f>
        <x:v>112332</x:v>
      </x:c>
    </x:row>
    <x:row r="231">
      <x:c r="A231" s="6" t="n">
        <x:v>46177</x:v>
      </x:c>
      <x:c r="B231" t="str">
        <x:v>Noor Enterprises</x:v>
      </x:c>
      <x:c r="C231" t="str">
        <x:v>NA/0925/26-27</x:v>
      </x:c>
      <x:c r="D231" s="7" t="n">
        <x:v>2650</x:v>
      </x:c>
      <x:c r="E231" s="6" t="n">
        <x:v>46177</x:v>
      </x:c>
      <x:c r="F231" t="n">
        <x:f>TODAY()-E231</x:f>
        <x:v>58</x:v>
      </x:c>
      <x:c r="G231" s="7" t="n">
        <x:f>SUMIF($B$5:$B$563,B231,$D$5:$D$563)</x:f>
        <x:v>28750</x:v>
      </x:c>
    </x:row>
    <x:row r="232">
      <x:c r="A232" s="6" t="n">
        <x:v>46177</x:v>
      </x:c>
      <x:c r="B232" t="str">
        <x:v>Unique Wire Ropes &amp; Tackles</x:v>
      </x:c>
      <x:c r="C232" t="str">
        <x:v>NA/0913/26-27</x:v>
      </x:c>
      <x:c r="D232" s="7" t="n">
        <x:v>6836</x:v>
      </x:c>
      <x:c r="E232" s="6" t="n">
        <x:v>46177</x:v>
      </x:c>
      <x:c r="F232" t="n">
        <x:f>TODAY()-E232</x:f>
        <x:v>58</x:v>
      </x:c>
      <x:c r="G232" s="7" t="n">
        <x:f>SUMIF($B$5:$B$563,B232,$D$5:$D$563)</x:f>
        <x:v>86975</x:v>
      </x:c>
    </x:row>
    <x:row r="233">
      <x:c r="A233" s="6" t="n">
        <x:v>46178</x:v>
      </x:c>
      <x:c r="B233" t="str">
        <x:v>Degon Traders</x:v>
      </x:c>
      <x:c r="C233" t="str">
        <x:v>NA/0944/26-27</x:v>
      </x:c>
      <x:c r="D233" s="7" t="n">
        <x:v>9800</x:v>
      </x:c>
      <x:c r="E233" s="6" t="n">
        <x:v>46178</x:v>
      </x:c>
      <x:c r="F233" t="n">
        <x:f>TODAY()-E233</x:f>
        <x:v>57</x:v>
      </x:c>
      <x:c r="G233" s="7" t="n">
        <x:f>SUMIF($B$5:$B$563,B233,$D$5:$D$563)</x:f>
        <x:v>17096</x:v>
      </x:c>
    </x:row>
    <x:row r="234">
      <x:c r="A234" s="6" t="n">
        <x:v>46178</x:v>
      </x:c>
      <x:c r="B234" t="str">
        <x:v>Salem Pipe Traders</x:v>
      </x:c>
      <x:c r="C234" t="str">
        <x:v>NA/0929/26-27</x:v>
      </x:c>
      <x:c r="D234" s="7" t="n">
        <x:v>1992</x:v>
      </x:c>
      <x:c r="E234" s="6" t="n">
        <x:v>46178</x:v>
      </x:c>
      <x:c r="F234" t="n">
        <x:f>TODAY()-E234</x:f>
        <x:v>57</x:v>
      </x:c>
      <x:c r="G234" s="7" t="n">
        <x:f>SUMIF($B$5:$B$563,B234,$D$5:$D$563)</x:f>
        <x:v>61020</x:v>
      </x:c>
    </x:row>
    <x:row r="235">
      <x:c r="A235" s="6" t="n">
        <x:v>46179</x:v>
      </x:c>
      <x:c r="B235" t="str">
        <x:v>Alif Traders</x:v>
      </x:c>
      <x:c r="C235" t="str">
        <x:v>NA/0966/26-27</x:v>
      </x:c>
      <x:c r="D235" s="7" t="n">
        <x:v>1075</x:v>
      </x:c>
      <x:c r="E235" s="6" t="n">
        <x:v>46179</x:v>
      </x:c>
      <x:c r="F235" t="n">
        <x:f>TODAY()-E235</x:f>
        <x:v>56</x:v>
      </x:c>
      <x:c r="G235" s="7" t="n">
        <x:f>SUMIF($B$5:$B$563,B235,$D$5:$D$563)</x:f>
        <x:v>119404</x:v>
      </x:c>
    </x:row>
    <x:row r="236">
      <x:c r="A236" s="6" t="n">
        <x:v>46179</x:v>
      </x:c>
      <x:c r="B236" t="str">
        <x:v>Auto Mech Tools</x:v>
      </x:c>
      <x:c r="C236" t="str">
        <x:v>NA/0959/26-27</x:v>
      </x:c>
      <x:c r="D236" s="7" t="n">
        <x:v>450</x:v>
      </x:c>
      <x:c r="E236" s="6" t="n">
        <x:v>46179</x:v>
      </x:c>
      <x:c r="F236" t="n">
        <x:f>TODAY()-E236</x:f>
        <x:v>56</x:v>
      </x:c>
      <x:c r="G236" s="7" t="n">
        <x:f>SUMIF($B$5:$B$563,B236,$D$5:$D$563)</x:f>
        <x:v>92608</x:v>
      </x:c>
    </x:row>
    <x:row r="237">
      <x:c r="A237" s="6" t="n">
        <x:v>46179</x:v>
      </x:c>
      <x:c r="B237" t="str">
        <x:v>BEST MACHINERY SUPPLIER</x:v>
      </x:c>
      <x:c r="C237" t="str">
        <x:v>NA/0976/26-27</x:v>
      </x:c>
      <x:c r="D237" s="7" t="n">
        <x:v>830</x:v>
      </x:c>
      <x:c r="E237" s="6" t="n">
        <x:v>46179</x:v>
      </x:c>
      <x:c r="F237" t="n">
        <x:f>TODAY()-E237</x:f>
        <x:v>56</x:v>
      </x:c>
      <x:c r="G237" s="7" t="n">
        <x:f>SUMIF($B$5:$B$563,B237,$D$5:$D$563)</x:f>
        <x:v>66140</x:v>
      </x:c>
    </x:row>
    <x:row r="238">
      <x:c r="A238" s="6" t="n">
        <x:v>46179</x:v>
      </x:c>
      <x:c r="B238" t="str">
        <x:v>BURHANI INDUSTRIAL MART</x:v>
      </x:c>
      <x:c r="C238" t="str">
        <x:v>NA/0955/26-27</x:v>
      </x:c>
      <x:c r="D238" s="7" t="n">
        <x:v>1374</x:v>
      </x:c>
      <x:c r="E238" s="6" t="n">
        <x:v>46179</x:v>
      </x:c>
      <x:c r="F238" t="n">
        <x:f>TODAY()-E238</x:f>
        <x:v>56</x:v>
      </x:c>
      <x:c r="G238" s="7" t="n">
        <x:f>SUMIF($B$5:$B$563,B238,$D$5:$D$563)</x:f>
        <x:v>6000</x:v>
      </x:c>
    </x:row>
    <x:row r="239">
      <x:c r="A239" s="6" t="n">
        <x:v>46179</x:v>
      </x:c>
      <x:c r="B239" t="str">
        <x:v>Modern Enterprises</x:v>
      </x:c>
      <x:c r="C239" t="str">
        <x:v>NA/0967/26-27</x:v>
      </x:c>
      <x:c r="D239" s="7" t="n">
        <x:v>2250</x:v>
      </x:c>
      <x:c r="E239" s="6" t="n">
        <x:v>46179</x:v>
      </x:c>
      <x:c r="F239" t="n">
        <x:f>TODAY()-E239</x:f>
        <x:v>56</x:v>
      </x:c>
      <x:c r="G239" s="7" t="n">
        <x:f>SUMIF($B$5:$B$563,B239,$D$5:$D$563)</x:f>
        <x:v>112332</x:v>
      </x:c>
    </x:row>
    <x:row r="240">
      <x:c r="A240" s="6" t="n">
        <x:v>46179</x:v>
      </x:c>
      <x:c r="B240" t="str">
        <x:v>Nandhu Coats</x:v>
      </x:c>
      <x:c r="C240" t="str">
        <x:v>NA/0978/26-27</x:v>
      </x:c>
      <x:c r="D240" s="7" t="n">
        <x:v>74892</x:v>
      </x:c>
      <x:c r="E240" s="6" t="n">
        <x:v>46179</x:v>
      </x:c>
      <x:c r="F240" t="n">
        <x:f>TODAY()-E240</x:f>
        <x:v>56</x:v>
      </x:c>
      <x:c r="G240" s="7" t="n">
        <x:f>SUMIF($B$5:$B$563,B240,$D$5:$D$563)</x:f>
        <x:v>182236</x:v>
      </x:c>
    </x:row>
    <x:row r="241">
      <x:c r="A241" s="6" t="n">
        <x:v>46179</x:v>
      </x:c>
      <x:c r="B241" t="str">
        <x:v>NATIONAL ELECTRO ENGINEERING</x:v>
      </x:c>
      <x:c r="C241" t="str">
        <x:v>NA/0958/26-27</x:v>
      </x:c>
      <x:c r="D241" s="7" t="n">
        <x:v>56</x:v>
      </x:c>
      <x:c r="E241" s="6" t="n">
        <x:v>46179</x:v>
      </x:c>
      <x:c r="F241" t="n">
        <x:f>TODAY()-E241</x:f>
        <x:v>56</x:v>
      </x:c>
      <x:c r="G241" s="7" t="n">
        <x:f>SUMIF($B$5:$B$563,B241,$D$5:$D$563)</x:f>
        <x:v>56</x:v>
      </x:c>
    </x:row>
    <x:row r="242">
      <x:c r="A242" s="6" t="n">
        <x:v>46179</x:v>
      </x:c>
      <x:c r="B242" t="str">
        <x:v>S to Z Traders</x:v>
      </x:c>
      <x:c r="C242" t="str">
        <x:v>NA/0968/26-27</x:v>
      </x:c>
      <x:c r="D242" s="7" t="n">
        <x:v>1693</x:v>
      </x:c>
      <x:c r="E242" s="6" t="n">
        <x:v>46179</x:v>
      </x:c>
      <x:c r="F242" t="n">
        <x:f>TODAY()-E242</x:f>
        <x:v>56</x:v>
      </x:c>
      <x:c r="G242" s="7" t="n">
        <x:f>SUMIF($B$5:$B$563,B242,$D$5:$D$563)</x:f>
        <x:v>77473</x:v>
      </x:c>
    </x:row>
    <x:row r="243">
      <x:c r="A243" s="6" t="n">
        <x:v>46179</x:v>
      </x:c>
      <x:c r="B243" t="str">
        <x:v>Safeboy Safety Solutions</x:v>
      </x:c>
      <x:c r="C243" t="str">
        <x:v>NA/0963/26-27</x:v>
      </x:c>
      <x:c r="D243" s="7" t="n">
        <x:v>2511</x:v>
      </x:c>
      <x:c r="E243" s="6" t="n">
        <x:v>46179</x:v>
      </x:c>
      <x:c r="F243" t="n">
        <x:f>TODAY()-E243</x:f>
        <x:v>56</x:v>
      </x:c>
      <x:c r="G243" s="7" t="n">
        <x:f>SUMIF($B$5:$B$563,B243,$D$5:$D$563)</x:f>
        <x:v>22276</x:v>
      </x:c>
    </x:row>
    <x:row r="244">
      <x:c r="A244" s="6" t="n">
        <x:v>46179</x:v>
      </x:c>
      <x:c r="B244" t="str">
        <x:v>Sekar Engineering Works</x:v>
      </x:c>
      <x:c r="C244" t="str">
        <x:v>NA/0980/26-27</x:v>
      </x:c>
      <x:c r="D244" s="7" t="n">
        <x:v>245</x:v>
      </x:c>
      <x:c r="E244" s="6" t="n">
        <x:v>46179</x:v>
      </x:c>
      <x:c r="F244" t="n">
        <x:f>TODAY()-E244</x:f>
        <x:v>56</x:v>
      </x:c>
      <x:c r="G244" s="7" t="n">
        <x:f>SUMIF($B$5:$B$563,B244,$D$5:$D$563)</x:f>
        <x:v>16423</x:v>
      </x:c>
    </x:row>
    <x:row r="245">
      <x:c r="A245" s="6" t="n">
        <x:v>46179</x:v>
      </x:c>
      <x:c r="B245" t="str">
        <x:v>Universal Hardware &amp; Tools Corp</x:v>
      </x:c>
      <x:c r="C245" t="str">
        <x:v>NA/0962/26-27</x:v>
      </x:c>
      <x:c r="D245" s="7" t="n">
        <x:v>8038</x:v>
      </x:c>
      <x:c r="E245" s="6" t="n">
        <x:v>46179</x:v>
      </x:c>
      <x:c r="F245" t="n">
        <x:f>TODAY()-E245</x:f>
        <x:v>56</x:v>
      </x:c>
      <x:c r="G245" s="7" t="n">
        <x:f>SUMIF($B$5:$B$563,B245,$D$5:$D$563)</x:f>
        <x:v>19560</x:v>
      </x:c>
    </x:row>
    <x:row r="246">
      <x:c r="A246" s="6" t="n">
        <x:v>46181</x:v>
      </x:c>
      <x:c r="B246" t="str">
        <x:v>Auto Mech Tools</x:v>
      </x:c>
      <x:c r="C246" t="str">
        <x:v>NA/0987/26-27</x:v>
      </x:c>
      <x:c r="D246" s="7" t="n">
        <x:v>7130</x:v>
      </x:c>
      <x:c r="E246" s="6" t="n">
        <x:v>46181</x:v>
      </x:c>
      <x:c r="F246" t="n">
        <x:f>TODAY()-E246</x:f>
        <x:v>54</x:v>
      </x:c>
      <x:c r="G246" s="7" t="n">
        <x:f>SUMIF($B$5:$B$563,B246,$D$5:$D$563)</x:f>
        <x:v>92608</x:v>
      </x:c>
    </x:row>
    <x:row r="247">
      <x:c r="A247" s="6" t="n">
        <x:v>46181</x:v>
      </x:c>
      <x:c r="B247" t="str">
        <x:v>Excellent Engineering Enterprises</x:v>
      </x:c>
      <x:c r="C247" t="str">
        <x:v>NA/0992/26-27</x:v>
      </x:c>
      <x:c r="D247" s="7" t="n">
        <x:v>4800</x:v>
      </x:c>
      <x:c r="E247" s="6" t="n">
        <x:v>46181</x:v>
      </x:c>
      <x:c r="F247" t="n">
        <x:f>TODAY()-E247</x:f>
        <x:v>54</x:v>
      </x:c>
      <x:c r="G247" s="7" t="n">
        <x:f>SUMIF($B$5:$B$563,B247,$D$5:$D$563)</x:f>
        <x:v>115200</x:v>
      </x:c>
    </x:row>
    <x:row r="248">
      <x:c r="A248" s="6" t="n">
        <x:v>46181</x:v>
      </x:c>
      <x:c r="B248" t="str">
        <x:v>Lemniscate Associates</x:v>
      </x:c>
      <x:c r="C248" t="str">
        <x:v>NA/1007/26-27</x:v>
      </x:c>
      <x:c r="D248" s="7" t="n">
        <x:v>2420</x:v>
      </x:c>
      <x:c r="E248" s="6" t="n">
        <x:v>46181</x:v>
      </x:c>
      <x:c r="F248" t="n">
        <x:f>TODAY()-E248</x:f>
        <x:v>54</x:v>
      </x:c>
      <x:c r="G248" s="7" t="n">
        <x:f>SUMIF($B$5:$B$563,B248,$D$5:$D$563)</x:f>
        <x:v>8114</x:v>
      </x:c>
    </x:row>
    <x:row r="249">
      <x:c r="A249" s="6" t="n">
        <x:v>46181</x:v>
      </x:c>
      <x:c r="B249" t="str">
        <x:v>Taher Enterprises</x:v>
      </x:c>
      <x:c r="C249" t="str">
        <x:v>NA/1000/26-27</x:v>
      </x:c>
      <x:c r="D249" s="7" t="n">
        <x:v>8744</x:v>
      </x:c>
      <x:c r="E249" s="6" t="n">
        <x:v>46181</x:v>
      </x:c>
      <x:c r="F249" t="n">
        <x:f>TODAY()-E249</x:f>
        <x:v>54</x:v>
      </x:c>
      <x:c r="G249" s="7" t="n">
        <x:f>SUMIF($B$5:$B$563,B249,$D$5:$D$563)</x:f>
        <x:v>22615</x:v>
      </x:c>
    </x:row>
    <x:row r="250">
      <x:c r="A250" s="6" t="n">
        <x:v>46181</x:v>
      </x:c>
      <x:c r="B250" t="str">
        <x:v>TOOLCOM INNOVATIVE SOLUTIONS PRIVATE LIMITED</x:v>
      </x:c>
      <x:c r="C250" t="str">
        <x:v>NA/0991/26-27</x:v>
      </x:c>
      <x:c r="D250" s="7" t="n">
        <x:v>4248</x:v>
      </x:c>
      <x:c r="E250" s="6" t="n">
        <x:v>46181</x:v>
      </x:c>
      <x:c r="F250" t="n">
        <x:f>TODAY()-E250</x:f>
        <x:v>54</x:v>
      </x:c>
      <x:c r="G250" s="7" t="n">
        <x:f>SUMIF($B$5:$B$563,B250,$D$5:$D$563)</x:f>
        <x:v>19046</x:v>
      </x:c>
    </x:row>
    <x:row r="251">
      <x:c r="A251" s="6" t="n">
        <x:v>46181</x:v>
      </x:c>
      <x:c r="B251" t="str">
        <x:v>Velavan Mill Store</x:v>
      </x:c>
      <x:c r="C251" t="str">
        <x:v>NA/1006/26-27</x:v>
      </x:c>
      <x:c r="D251" s="7" t="n">
        <x:v>11111</x:v>
      </x:c>
      <x:c r="E251" s="6" t="n">
        <x:v>46181</x:v>
      </x:c>
      <x:c r="F251" t="n">
        <x:f>TODAY()-E251</x:f>
        <x:v>54</x:v>
      </x:c>
      <x:c r="G251" s="7" t="n">
        <x:f>SUMIF($B$5:$B$563,B251,$D$5:$D$563)</x:f>
        <x:v>44439</x:v>
      </x:c>
    </x:row>
    <x:row r="252">
      <x:c r="A252" s="6" t="n">
        <x:v>46182</x:v>
      </x:c>
      <x:c r="B252" t="str">
        <x:v>Evershine Enterprises</x:v>
      </x:c>
      <x:c r="C252" t="str">
        <x:v>NA/1015/26-27</x:v>
      </x:c>
      <x:c r="D252" s="7" t="n">
        <x:v>1298</x:v>
      </x:c>
      <x:c r="E252" s="6" t="n">
        <x:v>46182</x:v>
      </x:c>
      <x:c r="F252" t="n">
        <x:f>TODAY()-E252</x:f>
        <x:v>53</x:v>
      </x:c>
      <x:c r="G252" s="7" t="n">
        <x:f>SUMIF($B$5:$B$563,B252,$D$5:$D$563)</x:f>
        <x:v>53111</x:v>
      </x:c>
    </x:row>
    <x:row r="253">
      <x:c r="A253" s="6" t="n">
        <x:v>46182</x:v>
      </x:c>
      <x:c r="B253" t="str">
        <x:v>Evershine Enterprises</x:v>
      </x:c>
      <x:c r="C253" t="str">
        <x:v>NA/1026/26-27</x:v>
      </x:c>
      <x:c r="D253" s="7" t="n">
        <x:v>3540</x:v>
      </x:c>
      <x:c r="E253" s="6" t="n">
        <x:v>46182</x:v>
      </x:c>
      <x:c r="F253" t="n">
        <x:f>TODAY()-E253</x:f>
        <x:v>53</x:v>
      </x:c>
      <x:c r="G253" s="7" t="n">
        <x:f>SUMIF($B$5:$B$563,B253,$D$5:$D$563)</x:f>
        <x:v>53111</x:v>
      </x:c>
    </x:row>
    <x:row r="254">
      <x:c r="A254" s="6" t="n">
        <x:v>46182</x:v>
      </x:c>
      <x:c r="B254" t="str">
        <x:v>Evershine Enterprises</x:v>
      </x:c>
      <x:c r="C254" t="str">
        <x:v>NA/1031/26-27</x:v>
      </x:c>
      <x:c r="D254" s="7" t="n">
        <x:v>8301</x:v>
      </x:c>
      <x:c r="E254" s="6" t="n">
        <x:v>46182</x:v>
      </x:c>
      <x:c r="F254" t="n">
        <x:f>TODAY()-E254</x:f>
        <x:v>53</x:v>
      </x:c>
      <x:c r="G254" s="7" t="n">
        <x:f>SUMIF($B$5:$B$563,B254,$D$5:$D$563)</x:f>
        <x:v>53111</x:v>
      </x:c>
    </x:row>
    <x:row r="255">
      <x:c r="A255" s="6" t="n">
        <x:v>46182</x:v>
      </x:c>
      <x:c r="B255" t="str">
        <x:v>S to Z Traders</x:v>
      </x:c>
      <x:c r="C255" t="str">
        <x:v>NA/1029/26-27</x:v>
      </x:c>
      <x:c r="D255" s="7" t="n">
        <x:v>3525</x:v>
      </x:c>
      <x:c r="E255" s="6" t="n">
        <x:v>46182</x:v>
      </x:c>
      <x:c r="F255" t="n">
        <x:f>TODAY()-E255</x:f>
        <x:v>53</x:v>
      </x:c>
      <x:c r="G255" s="7" t="n">
        <x:f>SUMIF($B$5:$B$563,B255,$D$5:$D$563)</x:f>
        <x:v>77473</x:v>
      </x:c>
    </x:row>
    <x:row r="256">
      <x:c r="A256" s="6" t="n">
        <x:v>46182</x:v>
      </x:c>
      <x:c r="B256" t="str">
        <x:v>Salem Pipe Traders</x:v>
      </x:c>
      <x:c r="C256" t="str">
        <x:v>NA/1030/26-27</x:v>
      </x:c>
      <x:c r="D256" s="7" t="n">
        <x:v>11840</x:v>
      </x:c>
      <x:c r="E256" s="6" t="n">
        <x:v>46182</x:v>
      </x:c>
      <x:c r="F256" t="n">
        <x:f>TODAY()-E256</x:f>
        <x:v>53</x:v>
      </x:c>
      <x:c r="G256" s="7" t="n">
        <x:f>SUMIF($B$5:$B$563,B256,$D$5:$D$563)</x:f>
        <x:v>61020</x:v>
      </x:c>
    </x:row>
    <x:row r="257">
      <x:c r="A257" s="6" t="n">
        <x:v>46182</x:v>
      </x:c>
      <x:c r="B257" t="str">
        <x:v>Sarral Irrigations</x:v>
      </x:c>
      <x:c r="C257" t="str">
        <x:v>NA/1028/26-27</x:v>
      </x:c>
      <x:c r="D257" s="7" t="n">
        <x:v>8244</x:v>
      </x:c>
      <x:c r="E257" s="6" t="n">
        <x:v>46182</x:v>
      </x:c>
      <x:c r="F257" t="n">
        <x:f>TODAY()-E257</x:f>
        <x:v>53</x:v>
      </x:c>
      <x:c r="G257" s="7" t="n">
        <x:f>SUMIF($B$5:$B$563,B257,$D$5:$D$563)</x:f>
        <x:v>12444</x:v>
      </x:c>
    </x:row>
    <x:row r="258">
      <x:c r="A258" s="6" t="n">
        <x:v>46182</x:v>
      </x:c>
      <x:c r="B258" t="str">
        <x:v>SSTG TECHNOLOGIES INDIA PRIVATE LIMITED</x:v>
      </x:c>
      <x:c r="C258" t="str">
        <x:v>NA/1016/26-27</x:v>
      </x:c>
      <x:c r="D258" s="7" t="n">
        <x:v>1900</x:v>
      </x:c>
      <x:c r="E258" s="6" t="n">
        <x:v>46182</x:v>
      </x:c>
      <x:c r="F258" t="n">
        <x:f>TODAY()-E258</x:f>
        <x:v>53</x:v>
      </x:c>
      <x:c r="G258" s="7" t="n">
        <x:f>SUMIF($B$5:$B$563,B258,$D$5:$D$563)</x:f>
        <x:v>109542</x:v>
      </x:c>
    </x:row>
    <x:row r="259">
      <x:c r="A259" s="6" t="n">
        <x:v>46183</x:v>
      </x:c>
      <x:c r="B259" t="str">
        <x:v>BURHANI INDUSTRIAL MART</x:v>
      </x:c>
      <x:c r="C259" t="str">
        <x:v>NA/1045/26-27</x:v>
      </x:c>
      <x:c r="D259" s="7" t="n">
        <x:v>1500</x:v>
      </x:c>
      <x:c r="E259" s="6" t="n">
        <x:v>46183</x:v>
      </x:c>
      <x:c r="F259" t="n">
        <x:f>TODAY()-E259</x:f>
        <x:v>52</x:v>
      </x:c>
      <x:c r="G259" s="7" t="n">
        <x:f>SUMIF($B$5:$B$563,B259,$D$5:$D$563)</x:f>
        <x:v>6000</x:v>
      </x:c>
    </x:row>
    <x:row r="260">
      <x:c r="A260" s="6" t="n">
        <x:v>46183</x:v>
      </x:c>
      <x:c r="B260" t="str">
        <x:v>IAMAX Precision India Pvt Ltd</x:v>
      </x:c>
      <x:c r="C260" t="str">
        <x:v>NA/1036/26-27</x:v>
      </x:c>
      <x:c r="D260" s="7" t="n">
        <x:v>8511</x:v>
      </x:c>
      <x:c r="E260" s="6" t="n">
        <x:v>46183</x:v>
      </x:c>
      <x:c r="F260" t="n">
        <x:f>TODAY()-E260</x:f>
        <x:v>52</x:v>
      </x:c>
      <x:c r="G260" s="7" t="n">
        <x:f>SUMIF($B$5:$B$563,B260,$D$5:$D$563)</x:f>
        <x:v>66432</x:v>
      </x:c>
    </x:row>
    <x:row r="261">
      <x:c r="A261" s="6" t="n">
        <x:v>46183</x:v>
      </x:c>
      <x:c r="B261" t="str">
        <x:v>Martin Traders</x:v>
      </x:c>
      <x:c r="C261" t="str">
        <x:v>NA/1038/26-27</x:v>
      </x:c>
      <x:c r="D261" s="7" t="n">
        <x:v>4500</x:v>
      </x:c>
      <x:c r="E261" s="6" t="n">
        <x:v>46183</x:v>
      </x:c>
      <x:c r="F261" t="n">
        <x:f>TODAY()-E261</x:f>
        <x:v>52</x:v>
      </x:c>
      <x:c r="G261" s="7" t="n">
        <x:f>SUMIF($B$5:$B$563,B261,$D$5:$D$563)</x:f>
        <x:v>4500</x:v>
      </x:c>
    </x:row>
    <x:row r="262">
      <x:c r="A262" s="6" t="n">
        <x:v>46183</x:v>
      </x:c>
      <x:c r="B262" t="str">
        <x:v>Sri Meenakshi Hardware and Tools</x:v>
      </x:c>
      <x:c r="C262" t="str">
        <x:v>NA/1042/26-27</x:v>
      </x:c>
      <x:c r="D262" s="7" t="n">
        <x:v>5760</x:v>
      </x:c>
      <x:c r="E262" s="6" t="n">
        <x:v>46183</x:v>
      </x:c>
      <x:c r="F262" t="n">
        <x:f>TODAY()-E262</x:f>
        <x:v>52</x:v>
      </x:c>
      <x:c r="G262" s="7" t="n">
        <x:f>SUMIF($B$5:$B$563,B262,$D$5:$D$563)</x:f>
        <x:v>158534</x:v>
      </x:c>
    </x:row>
    <x:row r="263">
      <x:c r="A263" s="6" t="n">
        <x:v>46183</x:v>
      </x:c>
      <x:c r="B263" t="str">
        <x:v>SSTG TECHNOLOGIES INDIA PRIVATE LIMITED</x:v>
      </x:c>
      <x:c r="C263" t="str">
        <x:v>NA/1056/26-27</x:v>
      </x:c>
      <x:c r="D263" s="7" t="n">
        <x:v>5038</x:v>
      </x:c>
      <x:c r="E263" s="6" t="n">
        <x:v>46183</x:v>
      </x:c>
      <x:c r="F263" t="n">
        <x:f>TODAY()-E263</x:f>
        <x:v>52</x:v>
      </x:c>
      <x:c r="G263" s="7" t="n">
        <x:f>SUMIF($B$5:$B$563,B263,$D$5:$D$563)</x:f>
        <x:v>109542</x:v>
      </x:c>
    </x:row>
    <x:row r="264">
      <x:c r="A264" s="6" t="n">
        <x:v>46183</x:v>
      </x:c>
      <x:c r="B264" t="str">
        <x:v>Unique Wire Ropes &amp; Tackles</x:v>
      </x:c>
      <x:c r="C264" t="str">
        <x:v>NA/1061/26-27</x:v>
      </x:c>
      <x:c r="D264" s="7" t="n">
        <x:v>2100</x:v>
      </x:c>
      <x:c r="E264" s="6" t="n">
        <x:v>46183</x:v>
      </x:c>
      <x:c r="F264" t="n">
        <x:f>TODAY()-E264</x:f>
        <x:v>52</x:v>
      </x:c>
      <x:c r="G264" s="7" t="n">
        <x:f>SUMIF($B$5:$B$563,B264,$D$5:$D$563)</x:f>
        <x:v>86975</x:v>
      </x:c>
    </x:row>
    <x:row r="265">
      <x:c r="A265" s="6" t="n">
        <x:v>46183</x:v>
      </x:c>
      <x:c r="B265" t="str">
        <x:v>Velavan Mill Store</x:v>
      </x:c>
      <x:c r="C265" t="str">
        <x:v>NA/1067/26-27</x:v>
      </x:c>
      <x:c r="D265" s="7" t="n">
        <x:v>4130</x:v>
      </x:c>
      <x:c r="E265" s="6" t="n">
        <x:v>46183</x:v>
      </x:c>
      <x:c r="F265" t="n">
        <x:f>TODAY()-E265</x:f>
        <x:v>52</x:v>
      </x:c>
      <x:c r="G265" s="7" t="n">
        <x:f>SUMIF($B$5:$B$563,B265,$D$5:$D$563)</x:f>
        <x:v>44439</x:v>
      </x:c>
    </x:row>
    <x:row r="266">
      <x:c r="A266" s="6" t="n">
        <x:v>46184</x:v>
      </x:c>
      <x:c r="B266" t="str">
        <x:v>Excellent Engineering Enterprises</x:v>
      </x:c>
      <x:c r="C266" t="str">
        <x:v>NA/1073/26-27</x:v>
      </x:c>
      <x:c r="D266" s="7" t="n">
        <x:v>4800</x:v>
      </x:c>
      <x:c r="E266" s="6" t="n">
        <x:v>46184</x:v>
      </x:c>
      <x:c r="F266" t="n">
        <x:f>TODAY()-E266</x:f>
        <x:v>51</x:v>
      </x:c>
      <x:c r="G266" s="7" t="n">
        <x:f>SUMIF($B$5:$B$563,B266,$D$5:$D$563)</x:f>
        <x:v>115200</x:v>
      </x:c>
    </x:row>
    <x:row r="267">
      <x:c r="A267" s="6" t="n">
        <x:v>46184</x:v>
      </x:c>
      <x:c r="B267" t="str">
        <x:v>IES AGENCIES</x:v>
      </x:c>
      <x:c r="C267" t="str">
        <x:v>NA/1081/26-27</x:v>
      </x:c>
      <x:c r="D267" s="7" t="n">
        <x:v>7596</x:v>
      </x:c>
      <x:c r="E267" s="6" t="n">
        <x:v>46184</x:v>
      </x:c>
      <x:c r="F267" t="n">
        <x:f>TODAY()-E267</x:f>
        <x:v>51</x:v>
      </x:c>
      <x:c r="G267" s="7" t="n">
        <x:f>SUMIF($B$5:$B$563,B267,$D$5:$D$563)</x:f>
        <x:v>12136</x:v>
      </x:c>
    </x:row>
    <x:row r="268">
      <x:c r="A268" s="6" t="n">
        <x:v>46184</x:v>
      </x:c>
      <x:c r="B268" t="str">
        <x:v>SANAA ENTERPRISES</x:v>
      </x:c>
      <x:c r="C268" t="str">
        <x:v>NA/1076/26-27</x:v>
      </x:c>
      <x:c r="D268" s="7" t="n">
        <x:v>8000</x:v>
      </x:c>
      <x:c r="E268" s="6" t="n">
        <x:v>46184</x:v>
      </x:c>
      <x:c r="F268" t="n">
        <x:f>TODAY()-E268</x:f>
        <x:v>51</x:v>
      </x:c>
      <x:c r="G268" s="7" t="n">
        <x:f>SUMIF($B$5:$B$563,B268,$D$5:$D$563)</x:f>
        <x:v>8000</x:v>
      </x:c>
    </x:row>
    <x:row r="269">
      <x:c r="A269" s="6" t="n">
        <x:v>46185</x:v>
      </x:c>
      <x:c r="B269" t="str">
        <x:v>KOMARLA HATCHERIES</x:v>
      </x:c>
      <x:c r="C269" t="str">
        <x:v>NA/1095/26-27</x:v>
      </x:c>
      <x:c r="D269" s="7" t="n">
        <x:v>1605</x:v>
      </x:c>
      <x:c r="E269" s="6" t="n">
        <x:v>46185</x:v>
      </x:c>
      <x:c r="F269" t="n">
        <x:f>TODAY()-E269</x:f>
        <x:v>50</x:v>
      </x:c>
      <x:c r="G269" s="7" t="n">
        <x:f>SUMIF($B$5:$B$563,B269,$D$5:$D$563)</x:f>
        <x:v>1605</x:v>
      </x:c>
    </x:row>
    <x:row r="270">
      <x:c r="A270" s="6" t="n">
        <x:v>46185</x:v>
      </x:c>
      <x:c r="B270" t="str">
        <x:v>S to Z Traders</x:v>
      </x:c>
      <x:c r="C270" t="str">
        <x:v>NA/1098/26-27</x:v>
      </x:c>
      <x:c r="D270" s="7" t="n">
        <x:v>14250</x:v>
      </x:c>
      <x:c r="E270" s="6" t="n">
        <x:v>46185</x:v>
      </x:c>
      <x:c r="F270" t="n">
        <x:f>TODAY()-E270</x:f>
        <x:v>50</x:v>
      </x:c>
      <x:c r="G270" s="7" t="n">
        <x:f>SUMIF($B$5:$B$563,B270,$D$5:$D$563)</x:f>
        <x:v>77473</x:v>
      </x:c>
    </x:row>
    <x:row r="271">
      <x:c r="A271" s="6" t="n">
        <x:v>46186</x:v>
      </x:c>
      <x:c r="B271" t="str">
        <x:v>Auto Mech Tools</x:v>
      </x:c>
      <x:c r="C271" t="str">
        <x:v>NA/1115/26-27</x:v>
      </x:c>
      <x:c r="D271" s="7" t="n">
        <x:v>4416</x:v>
      </x:c>
      <x:c r="E271" s="6" t="n">
        <x:v>46186</x:v>
      </x:c>
      <x:c r="F271" t="n">
        <x:f>TODAY()-E271</x:f>
        <x:v>49</x:v>
      </x:c>
      <x:c r="G271" s="7" t="n">
        <x:f>SUMIF($B$5:$B$563,B271,$D$5:$D$563)</x:f>
        <x:v>92608</x:v>
      </x:c>
    </x:row>
    <x:row r="272">
      <x:c r="A272" s="6" t="n">
        <x:v>46186</x:v>
      </x:c>
      <x:c r="B272" t="str">
        <x:v>BEST MACHINERY SUPPLIER</x:v>
      </x:c>
      <x:c r="C272" t="str">
        <x:v>NA/1114/26-27</x:v>
      </x:c>
      <x:c r="D272" s="7" t="n">
        <x:v>1350</x:v>
      </x:c>
      <x:c r="E272" s="6" t="n">
        <x:v>46186</x:v>
      </x:c>
      <x:c r="F272" t="n">
        <x:f>TODAY()-E272</x:f>
        <x:v>49</x:v>
      </x:c>
      <x:c r="G272" s="7" t="n">
        <x:f>SUMIF($B$5:$B$563,B272,$D$5:$D$563)</x:f>
        <x:v>66140</x:v>
      </x:c>
    </x:row>
    <x:row r="273">
      <x:c r="A273" s="6" t="n">
        <x:v>46186</x:v>
      </x:c>
      <x:c r="B273" t="str">
        <x:v>BURHANI INDUSTRIAL MART</x:v>
      </x:c>
      <x:c r="C273" t="str">
        <x:v>NA/1118/26-27</x:v>
      </x:c>
      <x:c r="D273" s="7" t="n">
        <x:v>882</x:v>
      </x:c>
      <x:c r="E273" s="6" t="n">
        <x:v>46186</x:v>
      </x:c>
      <x:c r="F273" t="n">
        <x:f>TODAY()-E273</x:f>
        <x:v>49</x:v>
      </x:c>
      <x:c r="G273" s="7" t="n">
        <x:f>SUMIF($B$5:$B$563,B273,$D$5:$D$563)</x:f>
        <x:v>6000</x:v>
      </x:c>
    </x:row>
    <x:row r="274">
      <x:c r="A274" s="6" t="n">
        <x:v>46186</x:v>
      </x:c>
      <x:c r="B274" t="str">
        <x:v>Burhani Traders</x:v>
      </x:c>
      <x:c r="C274" t="str">
        <x:v>NA/1116/26-27</x:v>
      </x:c>
      <x:c r="D274" s="7" t="n">
        <x:v>13800</x:v>
      </x:c>
      <x:c r="E274" s="6" t="n">
        <x:v>46186</x:v>
      </x:c>
      <x:c r="F274" t="n">
        <x:f>TODAY()-E274</x:f>
        <x:v>49</x:v>
      </x:c>
      <x:c r="G274" s="7" t="n">
        <x:f>SUMIF($B$5:$B$563,B274,$D$5:$D$563)</x:f>
        <x:v>238111</x:v>
      </x:c>
    </x:row>
    <x:row r="275">
      <x:c r="A275" s="6" t="n">
        <x:v>46186</x:v>
      </x:c>
      <x:c r="B275" t="str">
        <x:v>COMET TOOLS AND HARDWARE STORES</x:v>
      </x:c>
      <x:c r="C275" t="str">
        <x:v>NA/1124/26-27</x:v>
      </x:c>
      <x:c r="D275" s="7" t="n">
        <x:v>1700</x:v>
      </x:c>
      <x:c r="E275" s="6" t="n">
        <x:v>46186</x:v>
      </x:c>
      <x:c r="F275" t="n">
        <x:f>TODAY()-E275</x:f>
        <x:v>49</x:v>
      </x:c>
      <x:c r="G275" s="7" t="n">
        <x:f>SUMIF($B$5:$B$563,B275,$D$5:$D$563)</x:f>
        <x:v>7349</x:v>
      </x:c>
    </x:row>
    <x:row r="276">
      <x:c r="A276" s="6" t="n">
        <x:v>46186</x:v>
      </x:c>
      <x:c r="B276" t="str">
        <x:v>COMET TOOLS AND HARDWARE STORES</x:v>
      </x:c>
      <x:c r="C276" t="str">
        <x:v>NA/1131/26-27</x:v>
      </x:c>
      <x:c r="D276" s="7" t="n">
        <x:v>644</x:v>
      </x:c>
      <x:c r="E276" s="6" t="n">
        <x:v>46186</x:v>
      </x:c>
      <x:c r="F276" t="n">
        <x:f>TODAY()-E276</x:f>
        <x:v>49</x:v>
      </x:c>
      <x:c r="G276" s="7" t="n">
        <x:f>SUMIF($B$5:$B$563,B276,$D$5:$D$563)</x:f>
        <x:v>7349</x:v>
      </x:c>
    </x:row>
    <x:row r="277">
      <x:c r="A277" s="6" t="n">
        <x:v>46186</x:v>
      </x:c>
      <x:c r="B277" t="str">
        <x:v>GIS Engineering Co</x:v>
      </x:c>
      <x:c r="C277" t="str">
        <x:v>NA/1122/26-27</x:v>
      </x:c>
      <x:c r="D277" s="7" t="n">
        <x:v>1768</x:v>
      </x:c>
      <x:c r="E277" s="6" t="n">
        <x:v>46186</x:v>
      </x:c>
      <x:c r="F277" t="n">
        <x:f>TODAY()-E277</x:f>
        <x:v>49</x:v>
      </x:c>
      <x:c r="G277" s="7" t="n">
        <x:f>SUMIF($B$5:$B$563,B277,$D$5:$D$563)</x:f>
        <x:v>67304</x:v>
      </x:c>
    </x:row>
    <x:row r="278">
      <x:c r="A278" s="6" t="n">
        <x:v>46186</x:v>
      </x:c>
      <x:c r="B278" t="str">
        <x:v>GIS Engineering Co</x:v>
      </x:c>
      <x:c r="C278" t="str">
        <x:v>NA/1133/26-27</x:v>
      </x:c>
      <x:c r="D278" s="7" t="n">
        <x:v>3634</x:v>
      </x:c>
      <x:c r="E278" s="6" t="n">
        <x:v>46186</x:v>
      </x:c>
      <x:c r="F278" t="n">
        <x:f>TODAY()-E278</x:f>
        <x:v>49</x:v>
      </x:c>
      <x:c r="G278" s="7" t="n">
        <x:f>SUMIF($B$5:$B$563,B278,$D$5:$D$563)</x:f>
        <x:v>67304</x:v>
      </x:c>
    </x:row>
    <x:row r="279">
      <x:c r="A279" s="6" t="n">
        <x:v>46186</x:v>
      </x:c>
      <x:c r="B279" t="str">
        <x:v>Modern Enterprises</x:v>
      </x:c>
      <x:c r="C279" t="str">
        <x:v>NA/1119/26-27</x:v>
      </x:c>
      <x:c r="D279" s="7" t="n">
        <x:v>1598</x:v>
      </x:c>
      <x:c r="E279" s="6" t="n">
        <x:v>46186</x:v>
      </x:c>
      <x:c r="F279" t="n">
        <x:f>TODAY()-E279</x:f>
        <x:v>49</x:v>
      </x:c>
      <x:c r="G279" s="7" t="n">
        <x:f>SUMIF($B$5:$B$563,B279,$D$5:$D$563)</x:f>
        <x:v>112332</x:v>
      </x:c>
    </x:row>
    <x:row r="280">
      <x:c r="A280" s="6" t="n">
        <x:v>46186</x:v>
      </x:c>
      <x:c r="B280" t="str">
        <x:v>Nandhu Coats</x:v>
      </x:c>
      <x:c r="C280" t="str">
        <x:v>NA/1113/26-27</x:v>
      </x:c>
      <x:c r="D280" s="7" t="n">
        <x:v>20591</x:v>
      </x:c>
      <x:c r="E280" s="6" t="n">
        <x:v>46186</x:v>
      </x:c>
      <x:c r="F280" t="n">
        <x:f>TODAY()-E280</x:f>
        <x:v>49</x:v>
      </x:c>
      <x:c r="G280" s="7" t="n">
        <x:f>SUMIF($B$5:$B$563,B280,$D$5:$D$563)</x:f>
        <x:v>182236</x:v>
      </x:c>
    </x:row>
    <x:row r="281">
      <x:c r="A281" s="6" t="n">
        <x:v>46186</x:v>
      </x:c>
      <x:c r="B281" t="str">
        <x:v>Perfect Industrial Suppliers</x:v>
      </x:c>
      <x:c r="C281" t="str">
        <x:v>NA/1117/26-27</x:v>
      </x:c>
      <x:c r="D281" s="7" t="n">
        <x:v>4017</x:v>
      </x:c>
      <x:c r="E281" s="6" t="n">
        <x:v>46186</x:v>
      </x:c>
      <x:c r="F281" t="n">
        <x:f>TODAY()-E281</x:f>
        <x:v>49</x:v>
      </x:c>
      <x:c r="G281" s="7" t="n">
        <x:f>SUMIF($B$5:$B$563,B281,$D$5:$D$563)</x:f>
        <x:v>15171</x:v>
      </x:c>
    </x:row>
    <x:row r="282">
      <x:c r="A282" s="6" t="n">
        <x:v>46186</x:v>
      </x:c>
      <x:c r="B282" t="str">
        <x:v>Universal Hardware &amp; Tools Corp</x:v>
      </x:c>
      <x:c r="C282" t="str">
        <x:v>NA/1121/26-27</x:v>
      </x:c>
      <x:c r="D282" s="7" t="n">
        <x:v>1444</x:v>
      </x:c>
      <x:c r="E282" s="6" t="n">
        <x:v>46186</x:v>
      </x:c>
      <x:c r="F282" t="n">
        <x:f>TODAY()-E282</x:f>
        <x:v>49</x:v>
      </x:c>
      <x:c r="G282" s="7" t="n">
        <x:f>SUMIF($B$5:$B$563,B282,$D$5:$D$563)</x:f>
        <x:v>19560</x:v>
      </x:c>
    </x:row>
    <x:row r="283">
      <x:c r="A283" s="6" t="n">
        <x:v>46188</x:v>
      </x:c>
      <x:c r="B283" t="str">
        <x:v>Amogha Polymers India Pvt Ltd</x:v>
      </x:c>
      <x:c r="C283" t="str">
        <x:v>NA/1149/26-27</x:v>
      </x:c>
      <x:c r="D283" s="7" t="n">
        <x:v>3704</x:v>
      </x:c>
      <x:c r="E283" s="6" t="n">
        <x:v>46188</x:v>
      </x:c>
      <x:c r="F283" t="n">
        <x:f>TODAY()-E283</x:f>
        <x:v>47</x:v>
      </x:c>
      <x:c r="G283" s="7" t="n">
        <x:f>SUMIF($B$5:$B$563,B283,$D$5:$D$563)</x:f>
        <x:v>12267</x:v>
      </x:c>
    </x:row>
    <x:row r="284">
      <x:c r="A284" s="6" t="n">
        <x:v>46188</x:v>
      </x:c>
      <x:c r="B284" t="str">
        <x:v>IES AGENCIES</x:v>
      </x:c>
      <x:c r="C284" t="str">
        <x:v>NA/1139/26-27</x:v>
      </x:c>
      <x:c r="D284" s="7" t="n">
        <x:v>3798</x:v>
      </x:c>
      <x:c r="E284" s="6" t="n">
        <x:v>46188</x:v>
      </x:c>
      <x:c r="F284" t="n">
        <x:f>TODAY()-E284</x:f>
        <x:v>47</x:v>
      </x:c>
      <x:c r="G284" s="7" t="n">
        <x:f>SUMIF($B$5:$B$563,B284,$D$5:$D$563)</x:f>
        <x:v>12136</x:v>
      </x:c>
    </x:row>
    <x:row r="285">
      <x:c r="A285" s="6" t="n">
        <x:v>46188</x:v>
      </x:c>
      <x:c r="B285" t="str">
        <x:v>Noor Enterprises</x:v>
      </x:c>
      <x:c r="C285" t="str">
        <x:v>NA/1154/26-27</x:v>
      </x:c>
      <x:c r="D285" s="7" t="n">
        <x:v>1300</x:v>
      </x:c>
      <x:c r="E285" s="6" t="n">
        <x:v>46188</x:v>
      </x:c>
      <x:c r="F285" t="n">
        <x:f>TODAY()-E285</x:f>
        <x:v>47</x:v>
      </x:c>
      <x:c r="G285" s="7" t="n">
        <x:f>SUMIF($B$5:$B$563,B285,$D$5:$D$563)</x:f>
        <x:v>28750</x:v>
      </x:c>
    </x:row>
    <x:row r="286">
      <x:c r="A286" s="6" t="n">
        <x:v>46188</x:v>
      </x:c>
      <x:c r="B286" t="str">
        <x:v>TRUE VALUE SHOES AND SAFETY</x:v>
      </x:c>
      <x:c r="C286" t="str">
        <x:v>NA/1151/26-27</x:v>
      </x:c>
      <x:c r="D286" s="7" t="n">
        <x:v>3460</x:v>
      </x:c>
      <x:c r="E286" s="6" t="n">
        <x:v>46188</x:v>
      </x:c>
      <x:c r="F286" t="n">
        <x:f>TODAY()-E286</x:f>
        <x:v>47</x:v>
      </x:c>
      <x:c r="G286" s="7" t="n">
        <x:f>SUMIF($B$5:$B$563,B286,$D$5:$D$563)</x:f>
        <x:v>68445</x:v>
      </x:c>
    </x:row>
    <x:row r="287">
      <x:c r="A287" s="6" t="n">
        <x:v>46188</x:v>
      </x:c>
      <x:c r="B287" t="str">
        <x:v>Unique Wire Ropes &amp; Tackles</x:v>
      </x:c>
      <x:c r="C287" t="str">
        <x:v>NA/1136/26-27</x:v>
      </x:c>
      <x:c r="D287" s="7" t="n">
        <x:v>630</x:v>
      </x:c>
      <x:c r="E287" s="6" t="n">
        <x:v>46188</x:v>
      </x:c>
      <x:c r="F287" t="n">
        <x:f>TODAY()-E287</x:f>
        <x:v>47</x:v>
      </x:c>
      <x:c r="G287" s="7" t="n">
        <x:f>SUMIF($B$5:$B$563,B287,$D$5:$D$563)</x:f>
        <x:v>86975</x:v>
      </x:c>
    </x:row>
    <x:row r="288">
      <x:c r="A288" s="6" t="n">
        <x:v>46191</x:v>
      </x:c>
      <x:c r="B288" t="str">
        <x:v>Concord Fire and Safety Equipments</x:v>
      </x:c>
      <x:c r="C288" t="str">
        <x:v>NA/1164/26-27</x:v>
      </x:c>
      <x:c r="D288" s="7" t="n">
        <x:v>3717</x:v>
      </x:c>
      <x:c r="E288" s="6" t="n">
        <x:v>46191</x:v>
      </x:c>
      <x:c r="F288" t="n">
        <x:f>TODAY()-E288</x:f>
        <x:v>44</x:v>
      </x:c>
      <x:c r="G288" s="7" t="n">
        <x:f>SUMIF($B$5:$B$563,B288,$D$5:$D$563)</x:f>
        <x:v>3717</x:v>
      </x:c>
    </x:row>
    <x:row r="289">
      <x:c r="A289" s="6" t="n">
        <x:v>46191</x:v>
      </x:c>
      <x:c r="B289" t="str">
        <x:v>Hitech Engineering Works</x:v>
      </x:c>
      <x:c r="C289" t="str">
        <x:v>NA/1167/26-27</x:v>
      </x:c>
      <x:c r="D289" s="7" t="n">
        <x:v>1558</x:v>
      </x:c>
      <x:c r="E289" s="6" t="n">
        <x:v>46191</x:v>
      </x:c>
      <x:c r="F289" t="n">
        <x:f>TODAY()-E289</x:f>
        <x:v>44</x:v>
      </x:c>
      <x:c r="G289" s="7" t="n">
        <x:f>SUMIF($B$5:$B$563,B289,$D$5:$D$563)</x:f>
        <x:v>3365</x:v>
      </x:c>
    </x:row>
    <x:row r="290">
      <x:c r="A290" s="6" t="n">
        <x:v>46191</x:v>
      </x:c>
      <x:c r="B290" t="str">
        <x:v>IES AGENCIES</x:v>
      </x:c>
      <x:c r="C290" t="str">
        <x:v>NA/1155/26-27&lt;Auto&gt;</x:v>
      </x:c>
      <x:c r="D290" s="7" t="n">
        <x:v>742</x:v>
      </x:c>
      <x:c r="E290" s="6" t="n">
        <x:v>46191</x:v>
      </x:c>
      <x:c r="F290" t="n">
        <x:f>TODAY()-E290</x:f>
        <x:v>44</x:v>
      </x:c>
      <x:c r="G290" s="7" t="n">
        <x:f>SUMIF($B$5:$B$563,B290,$D$5:$D$563)</x:f>
        <x:v>12136</x:v>
      </x:c>
    </x:row>
    <x:row r="291">
      <x:c r="A291" s="6" t="n">
        <x:v>46195</x:v>
      </x:c>
      <x:c r="B291" t="str">
        <x:v>Sangamam Agencies</x:v>
      </x:c>
      <x:c r="C291" t="str">
        <x:v>NA/1181/26-27</x:v>
      </x:c>
      <x:c r="D291" s="7" t="n">
        <x:v>5403</x:v>
      </x:c>
      <x:c r="E291" s="6" t="n">
        <x:v>46195</x:v>
      </x:c>
      <x:c r="F291" t="n">
        <x:f>TODAY()-E291</x:f>
        <x:v>40</x:v>
      </x:c>
      <x:c r="G291" s="7" t="n">
        <x:f>SUMIF($B$5:$B$563,B291,$D$5:$D$563)</x:f>
        <x:v>5403</x:v>
      </x:c>
    </x:row>
    <x:row r="292">
      <x:c r="A292" s="6" t="n">
        <x:v>46195</x:v>
      </x:c>
      <x:c r="B292" t="str">
        <x:v>SRI VIGNESWARAN AAGENCIES</x:v>
      </x:c>
      <x:c r="C292" t="str">
        <x:v>NA/1178/26-27</x:v>
      </x:c>
      <x:c r="D292" s="7" t="n">
        <x:v>7080</x:v>
      </x:c>
      <x:c r="E292" s="6" t="n">
        <x:v>46195</x:v>
      </x:c>
      <x:c r="F292" t="n">
        <x:f>TODAY()-E292</x:f>
        <x:v>40</x:v>
      </x:c>
      <x:c r="G292" s="7" t="n">
        <x:f>SUMIF($B$5:$B$563,B292,$D$5:$D$563)</x:f>
        <x:v>7080</x:v>
      </x:c>
    </x:row>
    <x:row r="293">
      <x:c r="A293" s="6" t="n">
        <x:v>46198</x:v>
      </x:c>
      <x:c r="B293" t="str">
        <x:v>General Industrial Suppliers</x:v>
      </x:c>
      <x:c r="C293" t="str">
        <x:v>NA/1202/26-27</x:v>
      </x:c>
      <x:c r="D293" s="7" t="n">
        <x:v>46030</x:v>
      </x:c>
      <x:c r="E293" s="6" t="n">
        <x:v>46198</x:v>
      </x:c>
      <x:c r="F293" t="n">
        <x:f>TODAY()-E293</x:f>
        <x:v>37</x:v>
      </x:c>
      <x:c r="G293" s="7" t="n">
        <x:f>SUMIF($B$5:$B$563,B293,$D$5:$D$563)</x:f>
        <x:v>145391</x:v>
      </x:c>
    </x:row>
    <x:row r="294">
      <x:c r="A294" s="6" t="n">
        <x:v>46198</x:v>
      </x:c>
      <x:c r="B294" t="str">
        <x:v>Integrated Pacline India Private Limited</x:v>
      </x:c>
      <x:c r="C294" t="str">
        <x:v>NA/1191/26-27</x:v>
      </x:c>
      <x:c r="D294" s="7" t="n">
        <x:v>2950</x:v>
      </x:c>
      <x:c r="E294" s="6" t="n">
        <x:v>46198</x:v>
      </x:c>
      <x:c r="F294" t="n">
        <x:f>TODAY()-E294</x:f>
        <x:v>37</x:v>
      </x:c>
      <x:c r="G294" s="7" t="n">
        <x:f>SUMIF($B$5:$B$563,B294,$D$5:$D$563)</x:f>
        <x:v>180026</x:v>
      </x:c>
    </x:row>
    <x:row r="295">
      <x:c r="A295" s="6" t="n">
        <x:v>46198</x:v>
      </x:c>
      <x:c r="B295" t="str">
        <x:v>Integrated Pacline India Private Limited</x:v>
      </x:c>
      <x:c r="C295" t="str">
        <x:v>NA/1195/26-27</x:v>
      </x:c>
      <x:c r="D295" s="7" t="n">
        <x:v>36694</x:v>
      </x:c>
      <x:c r="E295" s="6" t="n">
        <x:v>46198</x:v>
      </x:c>
      <x:c r="F295" t="n">
        <x:f>TODAY()-E295</x:f>
        <x:v>37</x:v>
      </x:c>
      <x:c r="G295" s="7" t="n">
        <x:f>SUMIF($B$5:$B$563,B295,$D$5:$D$563)</x:f>
        <x:v>180026</x:v>
      </x:c>
    </x:row>
    <x:row r="296">
      <x:c r="A296" s="6" t="n">
        <x:v>46198</x:v>
      </x:c>
      <x:c r="B296" t="str">
        <x:v>IntegratedConveyors&amp;PaclineAutomationTechnologies</x:v>
      </x:c>
      <x:c r="C296" t="str">
        <x:v>NA/1192/26-27</x:v>
      </x:c>
      <x:c r="D296" s="7" t="n">
        <x:v>590</x:v>
      </x:c>
      <x:c r="E296" s="6" t="n">
        <x:v>46198</x:v>
      </x:c>
      <x:c r="F296" t="n">
        <x:f>TODAY()-E296</x:f>
        <x:v>37</x:v>
      </x:c>
      <x:c r="G296" s="7" t="n">
        <x:f>SUMIF($B$5:$B$563,B296,$D$5:$D$563)</x:f>
        <x:v>78587</x:v>
      </x:c>
    </x:row>
    <x:row r="297">
      <x:c r="A297" s="6" t="n">
        <x:v>46198</x:v>
      </x:c>
      <x:c r="B297" t="str">
        <x:v>Popular Engineering Stores</x:v>
      </x:c>
      <x:c r="C297" t="str">
        <x:v>NA/1198/26-27</x:v>
      </x:c>
      <x:c r="D297" s="7" t="n">
        <x:v>15400</x:v>
      </x:c>
      <x:c r="E297" s="6" t="n">
        <x:v>46198</x:v>
      </x:c>
      <x:c r="F297" t="n">
        <x:f>TODAY()-E297</x:f>
        <x:v>37</x:v>
      </x:c>
      <x:c r="G297" s="7" t="n">
        <x:f>SUMIF($B$5:$B$563,B297,$D$5:$D$563)</x:f>
        <x:v>15925</x:v>
      </x:c>
    </x:row>
    <x:row r="298">
      <x:c r="A298" s="6" t="n">
        <x:v>46198</x:v>
      </x:c>
      <x:c r="B298" t="str">
        <x:v>Saif Industrial Supply Co</x:v>
      </x:c>
      <x:c r="C298" t="str">
        <x:v>NA/1188/26-27</x:v>
      </x:c>
      <x:c r="D298" s="7" t="n">
        <x:v>1400</x:v>
      </x:c>
      <x:c r="E298" s="6" t="n">
        <x:v>46198</x:v>
      </x:c>
      <x:c r="F298" t="n">
        <x:f>TODAY()-E298</x:f>
        <x:v>37</x:v>
      </x:c>
      <x:c r="G298" s="7" t="n">
        <x:f>SUMIF($B$5:$B$563,B298,$D$5:$D$563)</x:f>
        <x:v>4700</x:v>
      </x:c>
    </x:row>
    <x:row r="299">
      <x:c r="A299" s="6" t="n">
        <x:v>46198</x:v>
      </x:c>
      <x:c r="B299" t="str">
        <x:v>TOOLCOM INNOVATIVE SOLUTIONS PRIVATE LIMITED</x:v>
      </x:c>
      <x:c r="C299" t="str">
        <x:v>NA/1203/26-27</x:v>
      </x:c>
      <x:c r="D299" s="7" t="n">
        <x:v>531</x:v>
      </x:c>
      <x:c r="E299" s="6" t="n">
        <x:v>46198</x:v>
      </x:c>
      <x:c r="F299" t="n">
        <x:f>TODAY()-E299</x:f>
        <x:v>37</x:v>
      </x:c>
      <x:c r="G299" s="7" t="n">
        <x:f>SUMIF($B$5:$B$563,B299,$D$5:$D$563)</x:f>
        <x:v>19046</x:v>
      </x:c>
    </x:row>
    <x:row r="300">
      <x:c r="A300" s="6" t="n">
        <x:v>46199</x:v>
      </x:c>
      <x:c r="B300" t="str">
        <x:v>B M Trade Links</x:v>
      </x:c>
      <x:c r="C300" t="str">
        <x:v>NA/1222/26-27</x:v>
      </x:c>
      <x:c r="D300" s="7" t="n">
        <x:v>4511</x:v>
      </x:c>
      <x:c r="E300" s="6" t="n">
        <x:v>46199</x:v>
      </x:c>
      <x:c r="F300" t="n">
        <x:f>TODAY()-E300</x:f>
        <x:v>36</x:v>
      </x:c>
      <x:c r="G300" s="7" t="n">
        <x:f>SUMIF($B$5:$B$563,B300,$D$5:$D$563)</x:f>
        <x:v>23286</x:v>
      </x:c>
    </x:row>
    <x:row r="301">
      <x:c r="A301" s="6" t="n">
        <x:v>46199</x:v>
      </x:c>
      <x:c r="B301" t="str">
        <x:v>Excellent Traders</x:v>
      </x:c>
      <x:c r="C301" t="str">
        <x:v>NA/1220/26-27</x:v>
      </x:c>
      <x:c r="D301" s="7" t="n">
        <x:v>7657</x:v>
      </x:c>
      <x:c r="E301" s="6" t="n">
        <x:v>46199</x:v>
      </x:c>
      <x:c r="F301" t="n">
        <x:f>TODAY()-E301</x:f>
        <x:v>36</x:v>
      </x:c>
      <x:c r="G301" s="7" t="n">
        <x:f>SUMIF($B$5:$B$563,B301,$D$5:$D$563)</x:f>
        <x:v>10782</x:v>
      </x:c>
    </x:row>
    <x:row r="302">
      <x:c r="A302" s="6" t="n">
        <x:v>46199</x:v>
      </x:c>
      <x:c r="B302" t="str">
        <x:v>Integrated Pacline India Private Limited</x:v>
      </x:c>
      <x:c r="C302" t="str">
        <x:v>NA/1216/26-27</x:v>
      </x:c>
      <x:c r="D302" s="7" t="n">
        <x:v>10891</x:v>
      </x:c>
      <x:c r="E302" s="6" t="n">
        <x:v>46199</x:v>
      </x:c>
      <x:c r="F302" t="n">
        <x:f>TODAY()-E302</x:f>
        <x:v>36</x:v>
      </x:c>
      <x:c r="G302" s="7" t="n">
        <x:f>SUMIF($B$5:$B$563,B302,$D$5:$D$563)</x:f>
        <x:v>180026</x:v>
      </x:c>
    </x:row>
    <x:row r="303">
      <x:c r="A303" s="6" t="n">
        <x:v>46199</x:v>
      </x:c>
      <x:c r="B303" t="str">
        <x:v>MB Tools Corporation</x:v>
      </x:c>
      <x:c r="C303" t="str">
        <x:v>NA/1221/26-27</x:v>
      </x:c>
      <x:c r="D303" s="7" t="n">
        <x:v>1200</x:v>
      </x:c>
      <x:c r="E303" s="6" t="n">
        <x:v>46199</x:v>
      </x:c>
      <x:c r="F303" t="n">
        <x:f>TODAY()-E303</x:f>
        <x:v>36</x:v>
      </x:c>
      <x:c r="G303" s="7" t="n">
        <x:f>SUMIF($B$5:$B$563,B303,$D$5:$D$563)</x:f>
        <x:v>1200</x:v>
      </x:c>
    </x:row>
    <x:row r="304">
      <x:c r="A304" s="6" t="n">
        <x:v>46199</x:v>
      </x:c>
      <x:c r="B304" t="str">
        <x:v>TRUE VALUE SHOES AND SAFETY</x:v>
      </x:c>
      <x:c r="C304" t="str">
        <x:v>NA/1227/26-27</x:v>
      </x:c>
      <x:c r="D304" s="7" t="n">
        <x:v>4200</x:v>
      </x:c>
      <x:c r="E304" s="6" t="n">
        <x:v>46199</x:v>
      </x:c>
      <x:c r="F304" t="n">
        <x:f>TODAY()-E304</x:f>
        <x:v>36</x:v>
      </x:c>
      <x:c r="G304" s="7" t="n">
        <x:f>SUMIF($B$5:$B$563,B304,$D$5:$D$563)</x:f>
        <x:v>68445</x:v>
      </x:c>
    </x:row>
    <x:row r="305">
      <x:c r="A305" s="6" t="n">
        <x:v>46200</x:v>
      </x:c>
      <x:c r="B305" t="str">
        <x:v>Associated Hardware &amp; Tools Corporation</x:v>
      </x:c>
      <x:c r="C305" t="str">
        <x:v>NA/1243/26-27</x:v>
      </x:c>
      <x:c r="D305" s="7" t="n">
        <x:v>7000</x:v>
      </x:c>
      <x:c r="E305" s="6" t="n">
        <x:v>46200</x:v>
      </x:c>
      <x:c r="F305" t="n">
        <x:f>TODAY()-E305</x:f>
        <x:v>35</x:v>
      </x:c>
      <x:c r="G305" s="7" t="n">
        <x:f>SUMIF($B$5:$B$563,B305,$D$5:$D$563)</x:f>
        <x:v>41253</x:v>
      </x:c>
    </x:row>
    <x:row r="306">
      <x:c r="A306" s="6" t="n">
        <x:v>46200</x:v>
      </x:c>
      <x:c r="B306" t="str">
        <x:v>B M Trade Links</x:v>
      </x:c>
      <x:c r="C306" t="str">
        <x:v>NA/1246/26-27</x:v>
      </x:c>
      <x:c r="D306" s="7" t="n">
        <x:v>883</x:v>
      </x:c>
      <x:c r="E306" s="6" t="n">
        <x:v>46200</x:v>
      </x:c>
      <x:c r="F306" t="n">
        <x:f>TODAY()-E306</x:f>
        <x:v>35</x:v>
      </x:c>
      <x:c r="G306" s="7" t="n">
        <x:f>SUMIF($B$5:$B$563,B306,$D$5:$D$563)</x:f>
        <x:v>23286</x:v>
      </x:c>
    </x:row>
    <x:row r="307">
      <x:c r="A307" s="6" t="n">
        <x:v>46200</x:v>
      </x:c>
      <x:c r="B307" t="str">
        <x:v>BEST MACHINERY SUPPLIER</x:v>
      </x:c>
      <x:c r="C307" t="str">
        <x:v>NA/1236/26-27</x:v>
      </x:c>
      <x:c r="D307" s="7" t="n">
        <x:v>4725</x:v>
      </x:c>
      <x:c r="E307" s="6" t="n">
        <x:v>46200</x:v>
      </x:c>
      <x:c r="F307" t="n">
        <x:f>TODAY()-E307</x:f>
        <x:v>35</x:v>
      </x:c>
      <x:c r="G307" s="7" t="n">
        <x:f>SUMIF($B$5:$B$563,B307,$D$5:$D$563)</x:f>
        <x:v>66140</x:v>
      </x:c>
    </x:row>
    <x:row r="308">
      <x:c r="A308" s="6" t="n">
        <x:v>46200</x:v>
      </x:c>
      <x:c r="B308" t="str">
        <x:v>Burhani Traders</x:v>
      </x:c>
      <x:c r="C308" t="str">
        <x:v>NA/1247/26-27</x:v>
      </x:c>
      <x:c r="D308" s="7" t="n">
        <x:v>1133</x:v>
      </x:c>
      <x:c r="E308" s="6" t="n">
        <x:v>46200</x:v>
      </x:c>
      <x:c r="F308" t="n">
        <x:f>TODAY()-E308</x:f>
        <x:v>35</x:v>
      </x:c>
      <x:c r="G308" s="7" t="n">
        <x:f>SUMIF($B$5:$B$563,B308,$D$5:$D$563)</x:f>
        <x:v>238111</x:v>
      </x:c>
    </x:row>
    <x:row r="309">
      <x:c r="A309" s="6" t="n">
        <x:v>46200</x:v>
      </x:c>
      <x:c r="B309" t="str">
        <x:v>Evershine Enterprises</x:v>
      </x:c>
      <x:c r="C309" t="str">
        <x:v>NA/1232/26-27</x:v>
      </x:c>
      <x:c r="D309" s="7" t="n">
        <x:v>1766</x:v>
      </x:c>
      <x:c r="E309" s="6" t="n">
        <x:v>46200</x:v>
      </x:c>
      <x:c r="F309" t="n">
        <x:f>TODAY()-E309</x:f>
        <x:v>35</x:v>
      </x:c>
      <x:c r="G309" s="7" t="n">
        <x:f>SUMIF($B$5:$B$563,B309,$D$5:$D$563)</x:f>
        <x:v>53111</x:v>
      </x:c>
    </x:row>
    <x:row r="310">
      <x:c r="A310" s="6" t="n">
        <x:v>46200</x:v>
      </x:c>
      <x:c r="B310" t="str">
        <x:v>Excellent Engineering Enterprises</x:v>
      </x:c>
      <x:c r="C310" t="str">
        <x:v>NA/1237/26-27</x:v>
      </x:c>
      <x:c r="D310" s="7" t="n">
        <x:v>16800</x:v>
      </x:c>
      <x:c r="E310" s="6" t="n">
        <x:v>46200</x:v>
      </x:c>
      <x:c r="F310" t="n">
        <x:f>TODAY()-E310</x:f>
        <x:v>35</x:v>
      </x:c>
      <x:c r="G310" s="7" t="n">
        <x:f>SUMIF($B$5:$B$563,B310,$D$5:$D$563)</x:f>
        <x:v>115200</x:v>
      </x:c>
    </x:row>
    <x:row r="311">
      <x:c r="A311" s="6" t="n">
        <x:v>46200</x:v>
      </x:c>
      <x:c r="B311" t="str">
        <x:v>GIS Engineering Co</x:v>
      </x:c>
      <x:c r="C311" t="str">
        <x:v>NA/1242/26-27</x:v>
      </x:c>
      <x:c r="D311" s="7" t="n">
        <x:v>14618</x:v>
      </x:c>
      <x:c r="E311" s="6" t="n">
        <x:v>46200</x:v>
      </x:c>
      <x:c r="F311" t="n">
        <x:f>TODAY()-E311</x:f>
        <x:v>35</x:v>
      </x:c>
      <x:c r="G311" s="7" t="n">
        <x:f>SUMIF($B$5:$B$563,B311,$D$5:$D$563)</x:f>
        <x:v>67304</x:v>
      </x:c>
    </x:row>
    <x:row r="312">
      <x:c r="A312" s="6" t="n">
        <x:v>46200</x:v>
      </x:c>
      <x:c r="B312" t="str">
        <x:v>Hardware Tools &amp; Machinery Mart</x:v>
      </x:c>
      <x:c r="C312" t="str">
        <x:v>NA/1239/26-27</x:v>
      </x:c>
      <x:c r="D312" s="7" t="n">
        <x:v>3186</x:v>
      </x:c>
      <x:c r="E312" s="6" t="n">
        <x:v>46200</x:v>
      </x:c>
      <x:c r="F312" t="n">
        <x:f>TODAY()-E312</x:f>
        <x:v>35</x:v>
      </x:c>
      <x:c r="G312" s="7" t="n">
        <x:f>SUMIF($B$5:$B$563,B312,$D$5:$D$563)</x:f>
        <x:v>3186</x:v>
      </x:c>
    </x:row>
    <x:row r="313">
      <x:c r="A313" s="6" t="n">
        <x:v>46200</x:v>
      </x:c>
      <x:c r="B313" t="str">
        <x:v>Nandhu Coats</x:v>
      </x:c>
      <x:c r="C313" t="str">
        <x:v>NA/1233/26-27</x:v>
      </x:c>
      <x:c r="D313" s="7" t="n">
        <x:v>19910</x:v>
      </x:c>
      <x:c r="E313" s="6" t="n">
        <x:v>46200</x:v>
      </x:c>
      <x:c r="F313" t="n">
        <x:f>TODAY()-E313</x:f>
        <x:v>35</x:v>
      </x:c>
      <x:c r="G313" s="7" t="n">
        <x:f>SUMIF($B$5:$B$563,B313,$D$5:$D$563)</x:f>
        <x:v>182236</x:v>
      </x:c>
    </x:row>
    <x:row r="314">
      <x:c r="A314" s="6" t="n">
        <x:v>46200</x:v>
      </x:c>
      <x:c r="B314" t="str">
        <x:v>Perfect Industrial Suppliers</x:v>
      </x:c>
      <x:c r="C314" t="str">
        <x:v>NA/1244/26-27</x:v>
      </x:c>
      <x:c r="D314" s="7" t="n">
        <x:v>11154</x:v>
      </x:c>
      <x:c r="E314" s="6" t="n">
        <x:v>46200</x:v>
      </x:c>
      <x:c r="F314" t="n">
        <x:f>TODAY()-E314</x:f>
        <x:v>35</x:v>
      </x:c>
      <x:c r="G314" s="7" t="n">
        <x:f>SUMIF($B$5:$B$563,B314,$D$5:$D$563)</x:f>
        <x:v>15171</x:v>
      </x:c>
    </x:row>
    <x:row r="315">
      <x:c r="A315" s="6" t="n">
        <x:v>46200</x:v>
      </x:c>
      <x:c r="B315" t="str">
        <x:v>Popular Engineering Stores</x:v>
      </x:c>
      <x:c r="C315" t="str">
        <x:v>NA/1253/26-27</x:v>
      </x:c>
      <x:c r="D315" s="7" t="n">
        <x:v>525</x:v>
      </x:c>
      <x:c r="E315" s="6" t="n">
        <x:v>46200</x:v>
      </x:c>
      <x:c r="F315" t="n">
        <x:f>TODAY()-E315</x:f>
        <x:v>35</x:v>
      </x:c>
      <x:c r="G315" s="7" t="n">
        <x:f>SUMIF($B$5:$B$563,B315,$D$5:$D$563)</x:f>
        <x:v>15925</x:v>
      </x:c>
    </x:row>
    <x:row r="316">
      <x:c r="A316" s="6" t="n">
        <x:v>46200</x:v>
      </x:c>
      <x:c r="B316" t="str">
        <x:v>Prime Trading Company</x:v>
      </x:c>
      <x:c r="C316" t="str">
        <x:v>NA/1238/26-27</x:v>
      </x:c>
      <x:c r="D316" s="7" t="n">
        <x:v>44775</x:v>
      </x:c>
      <x:c r="E316" s="6" t="n">
        <x:v>46200</x:v>
      </x:c>
      <x:c r="F316" t="n">
        <x:f>TODAY()-E316</x:f>
        <x:v>35</x:v>
      </x:c>
      <x:c r="G316" s="7" t="n">
        <x:f>SUMIF($B$5:$B$563,B316,$D$5:$D$563)</x:f>
        <x:v>107502</x:v>
      </x:c>
    </x:row>
    <x:row r="317">
      <x:c r="A317" s="6" t="n">
        <x:v>46200</x:v>
      </x:c>
      <x:c r="B317" t="str">
        <x:v>S to Z Traders</x:v>
      </x:c>
      <x:c r="C317" t="str">
        <x:v>NA/1245/26-27</x:v>
      </x:c>
      <x:c r="D317" s="7" t="n">
        <x:v>6720</x:v>
      </x:c>
      <x:c r="E317" s="6" t="n">
        <x:v>46200</x:v>
      </x:c>
      <x:c r="F317" t="n">
        <x:f>TODAY()-E317</x:f>
        <x:v>35</x:v>
      </x:c>
      <x:c r="G317" s="7" t="n">
        <x:f>SUMIF($B$5:$B$563,B317,$D$5:$D$563)</x:f>
        <x:v>77473</x:v>
      </x:c>
    </x:row>
    <x:row r="318">
      <x:c r="A318" s="6" t="n">
        <x:v>46200</x:v>
      </x:c>
      <x:c r="B318" t="str">
        <x:v>Sekar Engineering Works</x:v>
      </x:c>
      <x:c r="C318" t="str">
        <x:v>NA/1234/26-27</x:v>
      </x:c>
      <x:c r="D318" s="7" t="n">
        <x:v>6076</x:v>
      </x:c>
      <x:c r="E318" s="6" t="n">
        <x:v>46200</x:v>
      </x:c>
      <x:c r="F318" t="n">
        <x:f>TODAY()-E318</x:f>
        <x:v>35</x:v>
      </x:c>
      <x:c r="G318" s="7" t="n">
        <x:f>SUMIF($B$5:$B$563,B318,$D$5:$D$563)</x:f>
        <x:v>16423</x:v>
      </x:c>
    </x:row>
    <x:row r="319">
      <x:c r="A319" s="6" t="n">
        <x:v>46200</x:v>
      </x:c>
      <x:c r="B319" t="str">
        <x:v>South Coast Enterprises</x:v>
      </x:c>
      <x:c r="C319" t="str">
        <x:v>NA/1248/26-27</x:v>
      </x:c>
      <x:c r="D319" s="7" t="n">
        <x:v>626</x:v>
      </x:c>
      <x:c r="E319" s="6" t="n">
        <x:v>46200</x:v>
      </x:c>
      <x:c r="F319" t="n">
        <x:f>TODAY()-E319</x:f>
        <x:v>35</x:v>
      </x:c>
      <x:c r="G319" s="7" t="n">
        <x:f>SUMIF($B$5:$B$563,B319,$D$5:$D$563)</x:f>
        <x:v>14037</x:v>
      </x:c>
    </x:row>
    <x:row r="320">
      <x:c r="A320" s="6" t="n">
        <x:v>46200</x:v>
      </x:c>
      <x:c r="B320" t="str">
        <x:v>Triumph Trading Company</x:v>
      </x:c>
      <x:c r="C320" t="str">
        <x:v>NA/1241/26-27</x:v>
      </x:c>
      <x:c r="D320" s="7" t="n">
        <x:v>20730</x:v>
      </x:c>
      <x:c r="E320" s="6" t="n">
        <x:v>46200</x:v>
      </x:c>
      <x:c r="F320" t="n">
        <x:f>TODAY()-E320</x:f>
        <x:v>35</x:v>
      </x:c>
      <x:c r="G320" s="7" t="n">
        <x:f>SUMIF($B$5:$B$563,B320,$D$5:$D$563)</x:f>
        <x:v>29138</x:v>
      </x:c>
    </x:row>
    <x:row r="321">
      <x:c r="A321" s="6" t="n">
        <x:v>46202</x:v>
      </x:c>
      <x:c r="B321" t="str">
        <x:v>Excellent Engineering Enterprises</x:v>
      </x:c>
      <x:c r="C321" t="str">
        <x:v>NA/1265/26-27</x:v>
      </x:c>
      <x:c r="D321" s="7" t="n">
        <x:v>18000</x:v>
      </x:c>
      <x:c r="E321" s="6" t="n">
        <x:v>46202</x:v>
      </x:c>
      <x:c r="F321" t="n">
        <x:f>TODAY()-E321</x:f>
        <x:v>33</x:v>
      </x:c>
      <x:c r="G321" s="7" t="n">
        <x:f>SUMIF($B$5:$B$563,B321,$D$5:$D$563)</x:f>
        <x:v>115200</x:v>
      </x:c>
    </x:row>
    <x:row r="322">
      <x:c r="A322" s="6" t="n">
        <x:v>46202</x:v>
      </x:c>
      <x:c r="B322" t="str">
        <x:v>Prime Trading Company</x:v>
      </x:c>
      <x:c r="C322" t="str">
        <x:v>NA/1259/26-27</x:v>
      </x:c>
      <x:c r="D322" s="7" t="n">
        <x:v>21168</x:v>
      </x:c>
      <x:c r="E322" s="6" t="n">
        <x:v>46202</x:v>
      </x:c>
      <x:c r="F322" t="n">
        <x:f>TODAY()-E322</x:f>
        <x:v>33</x:v>
      </x:c>
      <x:c r="G322" s="7" t="n">
        <x:f>SUMIF($B$5:$B$563,B322,$D$5:$D$563)</x:f>
        <x:v>107502</x:v>
      </x:c>
    </x:row>
    <x:row r="323">
      <x:c r="A323" s="6" t="n">
        <x:v>46202</x:v>
      </x:c>
      <x:c r="B323" t="str">
        <x:v>Quadari Enterprises</x:v>
      </x:c>
      <x:c r="C323" t="str">
        <x:v>NA/1276/26-27</x:v>
      </x:c>
      <x:c r="D323" s="7" t="n">
        <x:v>1403</x:v>
      </x:c>
      <x:c r="E323" s="6" t="n">
        <x:v>46202</x:v>
      </x:c>
      <x:c r="F323" t="n">
        <x:f>TODAY()-E323</x:f>
        <x:v>33</x:v>
      </x:c>
      <x:c r="G323" s="7" t="n">
        <x:f>SUMIF($B$5:$B$563,B323,$D$5:$D$563)</x:f>
        <x:v>58985</x:v>
      </x:c>
    </x:row>
    <x:row r="324">
      <x:c r="A324" s="6" t="n">
        <x:v>46202</x:v>
      </x:c>
      <x:c r="B324" t="str">
        <x:v>Sri Meenakshi Hardware and Tools</x:v>
      </x:c>
      <x:c r="C324" t="str">
        <x:v>NA/1262/26-27</x:v>
      </x:c>
      <x:c r="D324" s="7" t="n">
        <x:v>2200</x:v>
      </x:c>
      <x:c r="E324" s="6" t="n">
        <x:v>46202</x:v>
      </x:c>
      <x:c r="F324" t="n">
        <x:f>TODAY()-E324</x:f>
        <x:v>33</x:v>
      </x:c>
      <x:c r="G324" s="7" t="n">
        <x:f>SUMIF($B$5:$B$563,B324,$D$5:$D$563)</x:f>
        <x:v>158534</x:v>
      </x:c>
    </x:row>
    <x:row r="325">
      <x:c r="A325" s="6" t="n">
        <x:v>46202</x:v>
      </x:c>
      <x:c r="B325" t="str">
        <x:v>SSTG TECHNOLOGIES INDIA PRIVATE LIMITED</x:v>
      </x:c>
      <x:c r="C325" t="str">
        <x:v>NA/1271/26-27</x:v>
      </x:c>
      <x:c r="D325" s="7" t="n">
        <x:v>2172</x:v>
      </x:c>
      <x:c r="E325" s="6" t="n">
        <x:v>46202</x:v>
      </x:c>
      <x:c r="F325" t="n">
        <x:f>TODAY()-E325</x:f>
        <x:v>33</x:v>
      </x:c>
      <x:c r="G325" s="7" t="n">
        <x:f>SUMIF($B$5:$B$563,B325,$D$5:$D$563)</x:f>
        <x:v>109542</x:v>
      </x:c>
    </x:row>
    <x:row r="326">
      <x:c r="A326" s="6" t="n">
        <x:v>46202</x:v>
      </x:c>
      <x:c r="B326" t="str">
        <x:v>TRUE VALUE SHOES AND SAFETY</x:v>
      </x:c>
      <x:c r="C326" t="str">
        <x:v>NA/1258/26-27</x:v>
      </x:c>
      <x:c r="D326" s="7" t="n">
        <x:v>4200</x:v>
      </x:c>
      <x:c r="E326" s="6" t="n">
        <x:v>46202</x:v>
      </x:c>
      <x:c r="F326" t="n">
        <x:f>TODAY()-E326</x:f>
        <x:v>33</x:v>
      </x:c>
      <x:c r="G326" s="7" t="n">
        <x:f>SUMIF($B$5:$B$563,B326,$D$5:$D$563)</x:f>
        <x:v>68445</x:v>
      </x:c>
    </x:row>
    <x:row r="327">
      <x:c r="A327" s="6" t="n">
        <x:v>46203</x:v>
      </x:c>
      <x:c r="B327" t="str">
        <x:v>Integrated Pacline India Private Limited</x:v>
      </x:c>
      <x:c r="C327" t="str">
        <x:v>NA/1281/26-27</x:v>
      </x:c>
      <x:c r="D327" s="7" t="n">
        <x:v>36150</x:v>
      </x:c>
      <x:c r="E327" s="6" t="n">
        <x:v>46203</x:v>
      </x:c>
      <x:c r="F327" t="n">
        <x:f>TODAY()-E327</x:f>
        <x:v>32</x:v>
      </x:c>
      <x:c r="G327" s="7" t="n">
        <x:f>SUMIF($B$5:$B$563,B327,$D$5:$D$563)</x:f>
        <x:v>180026</x:v>
      </x:c>
    </x:row>
    <x:row r="328">
      <x:c r="A328" s="6" t="n">
        <x:v>46203</x:v>
      </x:c>
      <x:c r="B328" t="str">
        <x:v>Meem Bay Enterprises</x:v>
      </x:c>
      <x:c r="C328" t="str">
        <x:v>NA/1285/26-27</x:v>
      </x:c>
      <x:c r="D328" s="7" t="n">
        <x:v>3150</x:v>
      </x:c>
      <x:c r="E328" s="6" t="n">
        <x:v>46203</x:v>
      </x:c>
      <x:c r="F328" t="n">
        <x:f>TODAY()-E328</x:f>
        <x:v>32</x:v>
      </x:c>
      <x:c r="G328" s="7" t="n">
        <x:f>SUMIF($B$5:$B$563,B328,$D$5:$D$563)</x:f>
        <x:v>3150</x:v>
      </x:c>
    </x:row>
    <x:row r="329">
      <x:c r="A329" s="6" t="n">
        <x:v>46203</x:v>
      </x:c>
      <x:c r="B329" t="str">
        <x:v>Pavithra and Co</x:v>
      </x:c>
      <x:c r="C329" t="str">
        <x:v>NA/1286/26-27</x:v>
      </x:c>
      <x:c r="D329" s="7" t="n">
        <x:v>7357</x:v>
      </x:c>
      <x:c r="E329" s="6" t="n">
        <x:v>46203</x:v>
      </x:c>
      <x:c r="F329" t="n">
        <x:f>TODAY()-E329</x:f>
        <x:v>32</x:v>
      </x:c>
      <x:c r="G329" s="7" t="n">
        <x:f>SUMIF($B$5:$B$563,B329,$D$5:$D$563)</x:f>
        <x:v>7357</x:v>
      </x:c>
    </x:row>
    <x:row r="330">
      <x:c r="A330" s="6" t="n">
        <x:v>46203</x:v>
      </x:c>
      <x:c r="B330" t="str">
        <x:v>SSTG TECHNOLOGIES INDIA PRIVATE LIMITED</x:v>
      </x:c>
      <x:c r="C330" t="str">
        <x:v>NA/1287/26-27</x:v>
      </x:c>
      <x:c r="D330" s="7" t="n">
        <x:v>3124</x:v>
      </x:c>
      <x:c r="E330" s="6" t="n">
        <x:v>46203</x:v>
      </x:c>
      <x:c r="F330" t="n">
        <x:f>TODAY()-E330</x:f>
        <x:v>32</x:v>
      </x:c>
      <x:c r="G330" s="7" t="n">
        <x:f>SUMIF($B$5:$B$563,B330,$D$5:$D$563)</x:f>
        <x:v>109542</x:v>
      </x:c>
    </x:row>
    <x:row r="331">
      <x:c r="A331" s="6" t="n">
        <x:v>46203</x:v>
      </x:c>
      <x:c r="B331" t="str">
        <x:v>Unique Wire Ropes &amp; Tackles</x:v>
      </x:c>
      <x:c r="C331" t="str">
        <x:v>NA/1283/26-27</x:v>
      </x:c>
      <x:c r="D331" s="7" t="n">
        <x:v>3060</x:v>
      </x:c>
      <x:c r="E331" s="6" t="n">
        <x:v>46203</x:v>
      </x:c>
      <x:c r="F331" t="n">
        <x:f>TODAY()-E331</x:f>
        <x:v>32</x:v>
      </x:c>
      <x:c r="G331" s="7" t="n">
        <x:f>SUMIF($B$5:$B$563,B331,$D$5:$D$563)</x:f>
        <x:v>86975</x:v>
      </x:c>
    </x:row>
    <x:row r="332">
      <x:c r="A332" s="6" t="n">
        <x:v>46204</x:v>
      </x:c>
      <x:c r="B332" t="str">
        <x:v>IAMAX Precision India Pvt Ltd</x:v>
      </x:c>
      <x:c r="C332" t="str">
        <x:v>NA/1301/26-27</x:v>
      </x:c>
      <x:c r="D332" s="7" t="n">
        <x:v>11621</x:v>
      </x:c>
      <x:c r="E332" s="6" t="n">
        <x:v>46204</x:v>
      </x:c>
      <x:c r="F332" t="n">
        <x:f>TODAY()-E332</x:f>
        <x:v>31</x:v>
      </x:c>
      <x:c r="G332" s="7" t="n">
        <x:f>SUMIF($B$5:$B$563,B332,$D$5:$D$563)</x:f>
        <x:v>66432</x:v>
      </x:c>
    </x:row>
    <x:row r="333">
      <x:c r="A333" s="6" t="n">
        <x:v>46204</x:v>
      </x:c>
      <x:c r="B333" t="str">
        <x:v>IAMAX Precision India Pvt Ltd</x:v>
      </x:c>
      <x:c r="C333" t="str">
        <x:v>NA/1302/26-27</x:v>
      </x:c>
      <x:c r="D333" s="7" t="n">
        <x:v>1323</x:v>
      </x:c>
      <x:c r="E333" s="6" t="n">
        <x:v>46204</x:v>
      </x:c>
      <x:c r="F333" t="n">
        <x:f>TODAY()-E333</x:f>
        <x:v>31</x:v>
      </x:c>
      <x:c r="G333" s="7" t="n">
        <x:f>SUMIF($B$5:$B$563,B333,$D$5:$D$563)</x:f>
        <x:v>66432</x:v>
      </x:c>
    </x:row>
    <x:row r="334">
      <x:c r="A334" s="6" t="n">
        <x:v>46204</x:v>
      </x:c>
      <x:c r="B334" t="str">
        <x:v>Integrated Pacline India Private Limited</x:v>
      </x:c>
      <x:c r="C334" t="str">
        <x:v>NA/1300/26-27</x:v>
      </x:c>
      <x:c r="D334" s="7" t="n">
        <x:v>1890</x:v>
      </x:c>
      <x:c r="E334" s="6" t="n">
        <x:v>46204</x:v>
      </x:c>
      <x:c r="F334" t="n">
        <x:f>TODAY()-E334</x:f>
        <x:v>31</x:v>
      </x:c>
      <x:c r="G334" s="7" t="n">
        <x:f>SUMIF($B$5:$B$563,B334,$D$5:$D$563)</x:f>
        <x:v>180026</x:v>
      </x:c>
    </x:row>
    <x:row r="335">
      <x:c r="A335" s="6" t="n">
        <x:v>46204</x:v>
      </x:c>
      <x:c r="B335" t="str">
        <x:v>Noor Enterprises</x:v>
      </x:c>
      <x:c r="C335" t="str">
        <x:v>NA/1309/26-27</x:v>
      </x:c>
      <x:c r="D335" s="7" t="n">
        <x:v>5600</x:v>
      </x:c>
      <x:c r="E335" s="6" t="n">
        <x:v>46204</x:v>
      </x:c>
      <x:c r="F335" t="n">
        <x:f>TODAY()-E335</x:f>
        <x:v>31</x:v>
      </x:c>
      <x:c r="G335" s="7" t="n">
        <x:f>SUMIF($B$5:$B$563,B335,$D$5:$D$563)</x:f>
        <x:v>28750</x:v>
      </x:c>
    </x:row>
    <x:row r="336">
      <x:c r="A336" s="6" t="n">
        <x:v>46204</x:v>
      </x:c>
      <x:c r="B336" t="str">
        <x:v>Saif Tools &amp; Machineries</x:v>
      </x:c>
      <x:c r="C336" t="str">
        <x:v>NA/1306/26-27</x:v>
      </x:c>
      <x:c r="D336" s="7" t="n">
        <x:v>1040</x:v>
      </x:c>
      <x:c r="E336" s="6" t="n">
        <x:v>46204</x:v>
      </x:c>
      <x:c r="F336" t="n">
        <x:f>TODAY()-E336</x:f>
        <x:v>31</x:v>
      </x:c>
      <x:c r="G336" s="7" t="n">
        <x:f>SUMIF($B$5:$B$563,B336,$D$5:$D$563)</x:f>
        <x:v>1040</x:v>
      </x:c>
    </x:row>
    <x:row r="337">
      <x:c r="A337" s="6" t="n">
        <x:v>46204</x:v>
      </x:c>
      <x:c r="B337" t="str">
        <x:v>SSTG TECHNOLOGIES INDIA PRIVATE LIMITED</x:v>
      </x:c>
      <x:c r="C337" t="str">
        <x:v>NA/1298/26-27</x:v>
      </x:c>
      <x:c r="D337" s="7" t="n">
        <x:v>1400</x:v>
      </x:c>
      <x:c r="E337" s="6" t="n">
        <x:v>46204</x:v>
      </x:c>
      <x:c r="F337" t="n">
        <x:f>TODAY()-E337</x:f>
        <x:v>31</x:v>
      </x:c>
      <x:c r="G337" s="7" t="n">
        <x:f>SUMIF($B$5:$B$563,B337,$D$5:$D$563)</x:f>
        <x:v>109542</x:v>
      </x:c>
    </x:row>
    <x:row r="338">
      <x:c r="A338" s="6" t="n">
        <x:v>46204</x:v>
      </x:c>
      <x:c r="B338" t="str">
        <x:v>TOTAR FABS ENI PRIVATE LIMITED</x:v>
      </x:c>
      <x:c r="C338" t="str">
        <x:v>NA/1299/26-27</x:v>
      </x:c>
      <x:c r="D338" s="7" t="n">
        <x:v>6210</x:v>
      </x:c>
      <x:c r="E338" s="6" t="n">
        <x:v>46204</x:v>
      </x:c>
      <x:c r="F338" t="n">
        <x:f>TODAY()-E338</x:f>
        <x:v>31</x:v>
      </x:c>
      <x:c r="G338" s="7" t="n">
        <x:f>SUMIF($B$5:$B$563,B338,$D$5:$D$563)</x:f>
        <x:v>7480</x:v>
      </x:c>
    </x:row>
    <x:row r="339">
      <x:c r="A339" s="6" t="n">
        <x:v>46205</x:v>
      </x:c>
      <x:c r="B339" t="str">
        <x:v>Fairdeal Industrial Suppliers</x:v>
      </x:c>
      <x:c r="C339" t="str">
        <x:v>NA/1329/26-27</x:v>
      </x:c>
      <x:c r="D339" s="7" t="n">
        <x:v>15000</x:v>
      </x:c>
      <x:c r="E339" s="6" t="n">
        <x:v>46205</x:v>
      </x:c>
      <x:c r="F339" t="n">
        <x:f>TODAY()-E339</x:f>
        <x:v>30</x:v>
      </x:c>
      <x:c r="G339" s="7" t="n">
        <x:f>SUMIF($B$5:$B$563,B339,$D$5:$D$563)</x:f>
        <x:v>30500</x:v>
      </x:c>
    </x:row>
    <x:row r="340">
      <x:c r="A340" s="6" t="n">
        <x:v>46205</x:v>
      </x:c>
      <x:c r="B340" t="str">
        <x:v>V Guard Industries Ltd (EMW)</x:v>
      </x:c>
      <x:c r="C340" t="str">
        <x:v>NA/1318/26-27</x:v>
      </x:c>
      <x:c r="D340" s="7" t="n">
        <x:v>6997</x:v>
      </x:c>
      <x:c r="E340" s="6" t="n">
        <x:v>46205</x:v>
      </x:c>
      <x:c r="F340" t="n">
        <x:f>TODAY()-E340</x:f>
        <x:v>30</x:v>
      </x:c>
      <x:c r="G340" s="7" t="n">
        <x:f>SUMIF($B$5:$B$563,B340,$D$5:$D$563)</x:f>
        <x:v>70377</x:v>
      </x:c>
    </x:row>
    <x:row r="341">
      <x:c r="A341" s="6" t="n">
        <x:v>46205</x:v>
      </x:c>
      <x:c r="B341" t="str">
        <x:v>V Guard Industries Ltd (EMW)</x:v>
      </x:c>
      <x:c r="C341" t="str">
        <x:v>NA/1319/26-27</x:v>
      </x:c>
      <x:c r="D341" s="7" t="n">
        <x:v>1485</x:v>
      </x:c>
      <x:c r="E341" s="6" t="n">
        <x:v>46205</x:v>
      </x:c>
      <x:c r="F341" t="n">
        <x:f>TODAY()-E341</x:f>
        <x:v>30</x:v>
      </x:c>
      <x:c r="G341" s="7" t="n">
        <x:f>SUMIF($B$5:$B$563,B341,$D$5:$D$563)</x:f>
        <x:v>70377</x:v>
      </x:c>
    </x:row>
    <x:row r="342">
      <x:c r="A342" s="6" t="n">
        <x:v>46206</x:v>
      </x:c>
      <x:c r="B342" t="str">
        <x:v>Alif Traders</x:v>
      </x:c>
      <x:c r="C342" t="str">
        <x:v>NA/1340/26-27</x:v>
      </x:c>
      <x:c r="D342" s="7" t="n">
        <x:v>32400</x:v>
      </x:c>
      <x:c r="E342" s="6" t="n">
        <x:v>46206</x:v>
      </x:c>
      <x:c r="F342" t="n">
        <x:f>TODAY()-E342</x:f>
        <x:v>29</x:v>
      </x:c>
      <x:c r="G342" s="7" t="n">
        <x:f>SUMIF($B$5:$B$563,B342,$D$5:$D$563)</x:f>
        <x:v>119404</x:v>
      </x:c>
    </x:row>
    <x:row r="343">
      <x:c r="A343" s="6" t="n">
        <x:v>46206</x:v>
      </x:c>
      <x:c r="B343" t="str">
        <x:v>PRESSANA MOTORS</x:v>
      </x:c>
      <x:c r="C343" t="str">
        <x:v>NA/1331/26-27</x:v>
      </x:c>
      <x:c r="D343" s="7" t="n">
        <x:v>295</x:v>
      </x:c>
      <x:c r="E343" s="6" t="n">
        <x:v>46206</x:v>
      </x:c>
      <x:c r="F343" t="n">
        <x:f>TODAY()-E343</x:f>
        <x:v>29</x:v>
      </x:c>
      <x:c r="G343" s="7" t="n">
        <x:f>SUMIF($B$5:$B$563,B343,$D$5:$D$563)</x:f>
        <x:v>295</x:v>
      </x:c>
    </x:row>
    <x:row r="344">
      <x:c r="A344" s="6" t="n">
        <x:v>46206</x:v>
      </x:c>
      <x:c r="B344" t="str">
        <x:v>PRESSANA POULTRY FARMS</x:v>
      </x:c>
      <x:c r="C344" t="str">
        <x:v>NA/1332/26-27</x:v>
      </x:c>
      <x:c r="D344" s="7" t="n">
        <x:v>2832</x:v>
      </x:c>
      <x:c r="E344" s="6" t="n">
        <x:v>46206</x:v>
      </x:c>
      <x:c r="F344" t="n">
        <x:f>TODAY()-E344</x:f>
        <x:v>29</x:v>
      </x:c>
      <x:c r="G344" s="7" t="n">
        <x:f>SUMIF($B$5:$B$563,B344,$D$5:$D$563)</x:f>
        <x:v>2832</x:v>
      </x:c>
    </x:row>
    <x:row r="345">
      <x:c r="A345" s="6" t="n">
        <x:v>46206</x:v>
      </x:c>
      <x:c r="B345" t="str">
        <x:v>TOOLCOM INNOVATIVE SOLUTIONS PRIVATE LIMITED</x:v>
      </x:c>
      <x:c r="C345" t="str">
        <x:v>NA/1347/26-27</x:v>
      </x:c>
      <x:c r="D345" s="7" t="n">
        <x:v>4779</x:v>
      </x:c>
      <x:c r="E345" s="6" t="n">
        <x:v>46206</x:v>
      </x:c>
      <x:c r="F345" t="n">
        <x:f>TODAY()-E345</x:f>
        <x:v>29</x:v>
      </x:c>
      <x:c r="G345" s="7" t="n">
        <x:f>SUMIF($B$5:$B$563,B345,$D$5:$D$563)</x:f>
        <x:v>19046</x:v>
      </x:c>
    </x:row>
    <x:row r="346">
      <x:c r="A346" s="6" t="n">
        <x:v>46207</x:v>
      </x:c>
      <x:c r="B346" t="str">
        <x:v>Auto Mech Tools</x:v>
      </x:c>
      <x:c r="C346" t="str">
        <x:v>NA/1357/26-27</x:v>
      </x:c>
      <x:c r="D346" s="7" t="n">
        <x:v>20425</x:v>
      </x:c>
      <x:c r="E346" s="6" t="n">
        <x:v>46207</x:v>
      </x:c>
      <x:c r="F346" t="n">
        <x:f>TODAY()-E346</x:f>
        <x:v>28</x:v>
      </x:c>
      <x:c r="G346" s="7" t="n">
        <x:f>SUMIF($B$5:$B$563,B346,$D$5:$D$563)</x:f>
        <x:v>92608</x:v>
      </x:c>
    </x:row>
    <x:row r="347">
      <x:c r="A347" s="6" t="n">
        <x:v>46207</x:v>
      </x:c>
      <x:c r="B347" t="str">
        <x:v>BEST MACHINERY SUPPLIER</x:v>
      </x:c>
      <x:c r="C347" t="str">
        <x:v>NA/1367/26-27</x:v>
      </x:c>
      <x:c r="D347" s="7" t="n">
        <x:v>991</x:v>
      </x:c>
      <x:c r="E347" s="6" t="n">
        <x:v>46207</x:v>
      </x:c>
      <x:c r="F347" t="n">
        <x:f>TODAY()-E347</x:f>
        <x:v>28</x:v>
      </x:c>
      <x:c r="G347" s="7" t="n">
        <x:f>SUMIF($B$5:$B$563,B347,$D$5:$D$563)</x:f>
        <x:v>66140</x:v>
      </x:c>
    </x:row>
    <x:row r="348">
      <x:c r="A348" s="6" t="n">
        <x:v>46207</x:v>
      </x:c>
      <x:c r="B348" t="str">
        <x:v>Burhani Traders</x:v>
      </x:c>
      <x:c r="C348" t="str">
        <x:v>NA/1358/26-27</x:v>
      </x:c>
      <x:c r="D348" s="7" t="n">
        <x:v>1590</x:v>
      </x:c>
      <x:c r="E348" s="6" t="n">
        <x:v>46207</x:v>
      </x:c>
      <x:c r="F348" t="n">
        <x:f>TODAY()-E348</x:f>
        <x:v>28</x:v>
      </x:c>
      <x:c r="G348" s="7" t="n">
        <x:f>SUMIF($B$5:$B$563,B348,$D$5:$D$563)</x:f>
        <x:v>238111</x:v>
      </x:c>
    </x:row>
    <x:row r="349">
      <x:c r="A349" s="6" t="n">
        <x:v>46207</x:v>
      </x:c>
      <x:c r="B349" t="str">
        <x:v>Evershine Enterprises</x:v>
      </x:c>
      <x:c r="C349" t="str">
        <x:v>NA/1365/26-27</x:v>
      </x:c>
      <x:c r="D349" s="7" t="n">
        <x:v>495</x:v>
      </x:c>
      <x:c r="E349" s="6" t="n">
        <x:v>46207</x:v>
      </x:c>
      <x:c r="F349" t="n">
        <x:f>TODAY()-E349</x:f>
        <x:v>28</x:v>
      </x:c>
      <x:c r="G349" s="7" t="n">
        <x:f>SUMIF($B$5:$B$563,B349,$D$5:$D$563)</x:f>
        <x:v>53111</x:v>
      </x:c>
    </x:row>
    <x:row r="350">
      <x:c r="A350" s="6" t="n">
        <x:v>46207</x:v>
      </x:c>
      <x:c r="B350" t="str">
        <x:v>General Industrial Suppliers</x:v>
      </x:c>
      <x:c r="C350" t="str">
        <x:v>NA/1360/26-27</x:v>
      </x:c>
      <x:c r="D350" s="7" t="n">
        <x:v>9540</x:v>
      </x:c>
      <x:c r="E350" s="6" t="n">
        <x:v>46207</x:v>
      </x:c>
      <x:c r="F350" t="n">
        <x:f>TODAY()-E350</x:f>
        <x:v>28</x:v>
      </x:c>
      <x:c r="G350" s="7" t="n">
        <x:f>SUMIF($B$5:$B$563,B350,$D$5:$D$563)</x:f>
        <x:v>145391</x:v>
      </x:c>
    </x:row>
    <x:row r="351">
      <x:c r="A351" s="6" t="n">
        <x:v>46207</x:v>
      </x:c>
      <x:c r="B351" t="str">
        <x:v>GIS Engineering Co</x:v>
      </x:c>
      <x:c r="C351" t="str">
        <x:v>NA/1359/26-27</x:v>
      </x:c>
      <x:c r="D351" s="7" t="n">
        <x:v>8047</x:v>
      </x:c>
      <x:c r="E351" s="6" t="n">
        <x:v>46207</x:v>
      </x:c>
      <x:c r="F351" t="n">
        <x:f>TODAY()-E351</x:f>
        <x:v>28</x:v>
      </x:c>
      <x:c r="G351" s="7" t="n">
        <x:f>SUMIF($B$5:$B$563,B351,$D$5:$D$563)</x:f>
        <x:v>67304</x:v>
      </x:c>
    </x:row>
    <x:row r="352">
      <x:c r="A352" s="6" t="n">
        <x:v>46207</x:v>
      </x:c>
      <x:c r="B352" t="str">
        <x:v>Lemniscate Associates</x:v>
      </x:c>
      <x:c r="C352" t="str">
        <x:v>NA/1366/26-27</x:v>
      </x:c>
      <x:c r="D352" s="7" t="n">
        <x:v>2160</x:v>
      </x:c>
      <x:c r="E352" s="6" t="n">
        <x:v>46207</x:v>
      </x:c>
      <x:c r="F352" t="n">
        <x:f>TODAY()-E352</x:f>
        <x:v>28</x:v>
      </x:c>
      <x:c r="G352" s="7" t="n">
        <x:f>SUMIF($B$5:$B$563,B352,$D$5:$D$563)</x:f>
        <x:v>8114</x:v>
      </x:c>
    </x:row>
    <x:row r="353">
      <x:c r="A353" s="6" t="n">
        <x:v>46207</x:v>
      </x:c>
      <x:c r="B353" t="str">
        <x:v>Prime Trading Company</x:v>
      </x:c>
      <x:c r="C353" t="str">
        <x:v>NA/1364/26-27</x:v>
      </x:c>
      <x:c r="D353" s="7" t="n">
        <x:v>5850</x:v>
      </x:c>
      <x:c r="E353" s="6" t="n">
        <x:v>46207</x:v>
      </x:c>
      <x:c r="F353" t="n">
        <x:f>TODAY()-E353</x:f>
        <x:v>28</x:v>
      </x:c>
      <x:c r="G353" s="7" t="n">
        <x:f>SUMIF($B$5:$B$563,B353,$D$5:$D$563)</x:f>
        <x:v>107502</x:v>
      </x:c>
    </x:row>
    <x:row r="354">
      <x:c r="A354" s="6" t="n">
        <x:v>46207</x:v>
      </x:c>
      <x:c r="B354" t="str">
        <x:v>S to Z Traders</x:v>
      </x:c>
      <x:c r="C354" t="str">
        <x:v>NA/1362/26-27</x:v>
      </x:c>
      <x:c r="D354" s="7" t="n">
        <x:v>8876</x:v>
      </x:c>
      <x:c r="E354" s="6" t="n">
        <x:v>46207</x:v>
      </x:c>
      <x:c r="F354" t="n">
        <x:f>TODAY()-E354</x:f>
        <x:v>28</x:v>
      </x:c>
      <x:c r="G354" s="7" t="n">
        <x:f>SUMIF($B$5:$B$563,B354,$D$5:$D$563)</x:f>
        <x:v>77473</x:v>
      </x:c>
    </x:row>
    <x:row r="355">
      <x:c r="A355" s="6" t="n">
        <x:v>46207</x:v>
      </x:c>
      <x:c r="B355" t="str">
        <x:v>SHIBAM ENGINEERING &amp; PNEUMATICS</x:v>
      </x:c>
      <x:c r="C355" t="str">
        <x:v>NA/1376/26-27</x:v>
      </x:c>
      <x:c r="D355" s="7" t="n">
        <x:v>2880</x:v>
      </x:c>
      <x:c r="E355" s="6" t="n">
        <x:v>46207</x:v>
      </x:c>
      <x:c r="F355" t="n">
        <x:f>TODAY()-E355</x:f>
        <x:v>28</x:v>
      </x:c>
      <x:c r="G355" s="7" t="n">
        <x:f>SUMIF($B$5:$B$563,B355,$D$5:$D$563)</x:f>
        <x:v>2880</x:v>
      </x:c>
    </x:row>
    <x:row r="356">
      <x:c r="A356" s="6" t="n">
        <x:v>46207</x:v>
      </x:c>
      <x:c r="B356" t="str">
        <x:v>Sri Meenakshi Hardware and Tools</x:v>
      </x:c>
      <x:c r="C356" t="str">
        <x:v>NA/1369/26-27</x:v>
      </x:c>
      <x:c r="D356" s="7" t="n">
        <x:v>2760</x:v>
      </x:c>
      <x:c r="E356" s="6" t="n">
        <x:v>46207</x:v>
      </x:c>
      <x:c r="F356" t="n">
        <x:f>TODAY()-E356</x:f>
        <x:v>28</x:v>
      </x:c>
      <x:c r="G356" s="7" t="n">
        <x:f>SUMIF($B$5:$B$563,B356,$D$5:$D$563)</x:f>
        <x:v>158534</x:v>
      </x:c>
    </x:row>
    <x:row r="357">
      <x:c r="A357" s="6" t="n">
        <x:v>46207</x:v>
      </x:c>
      <x:c r="B357" t="str">
        <x:v>Taher Enterprises</x:v>
      </x:c>
      <x:c r="C357" t="str">
        <x:v>NA/1368/26-27</x:v>
      </x:c>
      <x:c r="D357" s="7" t="n">
        <x:v>3975</x:v>
      </x:c>
      <x:c r="E357" s="6" t="n">
        <x:v>46207</x:v>
      </x:c>
      <x:c r="F357" t="n">
        <x:f>TODAY()-E357</x:f>
        <x:v>28</x:v>
      </x:c>
      <x:c r="G357" s="7" t="n">
        <x:f>SUMIF($B$5:$B$563,B357,$D$5:$D$563)</x:f>
        <x:v>22615</x:v>
      </x:c>
    </x:row>
    <x:row r="358">
      <x:c r="A358" s="6" t="n">
        <x:v>46207</x:v>
      </x:c>
      <x:c r="B358" t="str">
        <x:v>Triumph Trading Company</x:v>
      </x:c>
      <x:c r="C358" t="str">
        <x:v>NA/1361/26-27</x:v>
      </x:c>
      <x:c r="D358" s="7" t="n">
        <x:v>270</x:v>
      </x:c>
      <x:c r="E358" s="6" t="n">
        <x:v>46207</x:v>
      </x:c>
      <x:c r="F358" t="n">
        <x:f>TODAY()-E358</x:f>
        <x:v>28</x:v>
      </x:c>
      <x:c r="G358" s="7" t="n">
        <x:f>SUMIF($B$5:$B$563,B358,$D$5:$D$563)</x:f>
        <x:v>29138</x:v>
      </x:c>
    </x:row>
    <x:row r="359">
      <x:c r="A359" s="6" t="n">
        <x:v>46207</x:v>
      </x:c>
      <x:c r="B359" t="str">
        <x:v>Unique Wire Ropes &amp; Tackles</x:v>
      </x:c>
      <x:c r="C359" t="str">
        <x:v>NA/1372/26-27</x:v>
      </x:c>
      <x:c r="D359" s="7" t="n">
        <x:v>1184</x:v>
      </x:c>
      <x:c r="E359" s="6" t="n">
        <x:v>46207</x:v>
      </x:c>
      <x:c r="F359" t="n">
        <x:f>TODAY()-E359</x:f>
        <x:v>28</x:v>
      </x:c>
      <x:c r="G359" s="7" t="n">
        <x:f>SUMIF($B$5:$B$563,B359,$D$5:$D$563)</x:f>
        <x:v>86975</x:v>
      </x:c>
    </x:row>
    <x:row r="360">
      <x:c r="A360" s="6" t="n">
        <x:v>46207</x:v>
      </x:c>
      <x:c r="B360" t="str">
        <x:v>Universal Hardware &amp; Tools Corp</x:v>
      </x:c>
      <x:c r="C360" t="str">
        <x:v>NA/1363/26-27</x:v>
      </x:c>
      <x:c r="D360" s="7" t="n">
        <x:v>216</x:v>
      </x:c>
      <x:c r="E360" s="6" t="n">
        <x:v>46207</x:v>
      </x:c>
      <x:c r="F360" t="n">
        <x:f>TODAY()-E360</x:f>
        <x:v>28</x:v>
      </x:c>
      <x:c r="G360" s="7" t="n">
        <x:f>SUMIF($B$5:$B$563,B360,$D$5:$D$563)</x:f>
        <x:v>19560</x:v>
      </x:c>
    </x:row>
    <x:row r="361">
      <x:c r="A361" s="6" t="n">
        <x:v>46207</x:v>
      </x:c>
      <x:c r="B361" t="str">
        <x:v>V Guard Industries Ltd (EMW)</x:v>
      </x:c>
      <x:c r="C361" t="str">
        <x:v>NA/1377/26-27</x:v>
      </x:c>
      <x:c r="D361" s="7" t="n">
        <x:v>3510</x:v>
      </x:c>
      <x:c r="E361" s="6" t="n">
        <x:v>46207</x:v>
      </x:c>
      <x:c r="F361" t="n">
        <x:f>TODAY()-E361</x:f>
        <x:v>28</x:v>
      </x:c>
      <x:c r="G361" s="7" t="n">
        <x:f>SUMIF($B$5:$B$563,B361,$D$5:$D$563)</x:f>
        <x:v>70377</x:v>
      </x:c>
    </x:row>
    <x:row r="362">
      <x:c r="A362" s="6" t="n">
        <x:v>46209</x:v>
      </x:c>
      <x:c r="B362" t="str">
        <x:v>Amogha Polymers India Pvt Ltd</x:v>
      </x:c>
      <x:c r="C362" t="str">
        <x:v>NA/1383/26-27</x:v>
      </x:c>
      <x:c r="D362" s="7" t="n">
        <x:v>2739</x:v>
      </x:c>
      <x:c r="E362" s="6" t="n">
        <x:v>46209</x:v>
      </x:c>
      <x:c r="F362" t="n">
        <x:f>TODAY()-E362</x:f>
        <x:v>26</x:v>
      </x:c>
      <x:c r="G362" s="7" t="n">
        <x:f>SUMIF($B$5:$B$563,B362,$D$5:$D$563)</x:f>
        <x:v>12267</x:v>
      </x:c>
    </x:row>
    <x:row r="363">
      <x:c r="A363" s="6" t="n">
        <x:v>46209</x:v>
      </x:c>
      <x:c r="B363" t="str">
        <x:v>Evershine Enterprises</x:v>
      </x:c>
      <x:c r="C363" t="str">
        <x:v>NA/1398/26-27</x:v>
      </x:c>
      <x:c r="D363" s="7" t="n">
        <x:v>1751</x:v>
      </x:c>
      <x:c r="E363" s="6" t="n">
        <x:v>46209</x:v>
      </x:c>
      <x:c r="F363" t="n">
        <x:f>TODAY()-E363</x:f>
        <x:v>26</x:v>
      </x:c>
      <x:c r="G363" s="7" t="n">
        <x:f>SUMIF($B$5:$B$563,B363,$D$5:$D$563)</x:f>
        <x:v>53111</x:v>
      </x:c>
    </x:row>
    <x:row r="364">
      <x:c r="A364" s="6" t="n">
        <x:v>46209</x:v>
      </x:c>
      <x:c r="B364" t="str">
        <x:v>SHANTHI ELECTRICALS AND HARDWARES</x:v>
      </x:c>
      <x:c r="C364" t="str">
        <x:v>NA/1399/26-27</x:v>
      </x:c>
      <x:c r="D364" s="7" t="n">
        <x:v>310</x:v>
      </x:c>
      <x:c r="E364" s="6" t="n">
        <x:v>46209</x:v>
      </x:c>
      <x:c r="F364" t="n">
        <x:f>TODAY()-E364</x:f>
        <x:v>26</x:v>
      </x:c>
      <x:c r="G364" s="7" t="n">
        <x:f>SUMIF($B$5:$B$563,B364,$D$5:$D$563)</x:f>
        <x:v>8878</x:v>
      </x:c>
    </x:row>
    <x:row r="365">
      <x:c r="A365" s="6" t="n">
        <x:v>46209</x:v>
      </x:c>
      <x:c r="B365" t="str">
        <x:v>TAHERI HARDWARE MART</x:v>
      </x:c>
      <x:c r="C365" t="str">
        <x:v>NA/1386/26-27</x:v>
      </x:c>
      <x:c r="D365" s="7" t="n">
        <x:v>2360</x:v>
      </x:c>
      <x:c r="E365" s="6" t="n">
        <x:v>46209</x:v>
      </x:c>
      <x:c r="F365" t="n">
        <x:f>TODAY()-E365</x:f>
        <x:v>26</x:v>
      </x:c>
      <x:c r="G365" s="7" t="n">
        <x:f>SUMIF($B$5:$B$563,B365,$D$5:$D$563)</x:f>
        <x:v>2360</x:v>
      </x:c>
    </x:row>
    <x:row r="366">
      <x:c r="A366" s="6" t="n">
        <x:v>46210</x:v>
      </x:c>
      <x:c r="B366" t="str">
        <x:v>General Industrial Suppliers</x:v>
      </x:c>
      <x:c r="C366" t="str">
        <x:v>NA/1409/26-27</x:v>
      </x:c>
      <x:c r="D366" s="7" t="n">
        <x:v>24038</x:v>
      </x:c>
      <x:c r="E366" s="6" t="n">
        <x:v>46210</x:v>
      </x:c>
      <x:c r="F366" t="n">
        <x:f>TODAY()-E366</x:f>
        <x:v>25</x:v>
      </x:c>
      <x:c r="G366" s="7" t="n">
        <x:f>SUMIF($B$5:$B$563,B366,$D$5:$D$563)</x:f>
        <x:v>145391</x:v>
      </x:c>
    </x:row>
    <x:row r="367">
      <x:c r="A367" s="6" t="n">
        <x:v>46210</x:v>
      </x:c>
      <x:c r="B367" t="str">
        <x:v>Kapadiya Tools Syndicate</x:v>
      </x:c>
      <x:c r="C367" t="str">
        <x:v>NA/1404/26-27</x:v>
      </x:c>
      <x:c r="D367" s="7" t="n">
        <x:v>675</x:v>
      </x:c>
      <x:c r="E367" s="6" t="n">
        <x:v>46210</x:v>
      </x:c>
      <x:c r="F367" t="n">
        <x:f>TODAY()-E367</x:f>
        <x:v>25</x:v>
      </x:c>
      <x:c r="G367" s="7" t="n">
        <x:f>SUMIF($B$5:$B$563,B367,$D$5:$D$563)</x:f>
        <x:v>675</x:v>
      </x:c>
    </x:row>
    <x:row r="368">
      <x:c r="A368" s="6" t="n">
        <x:v>46210</x:v>
      </x:c>
      <x:c r="B368" t="str">
        <x:v>Magnic Technologies Pvt Ltd</x:v>
      </x:c>
      <x:c r="C368" t="str">
        <x:v>NA/1411/26-27</x:v>
      </x:c>
      <x:c r="D368" s="7" t="n">
        <x:v>7670</x:v>
      </x:c>
      <x:c r="E368" s="6" t="n">
        <x:v>46210</x:v>
      </x:c>
      <x:c r="F368" t="n">
        <x:f>TODAY()-E368</x:f>
        <x:v>25</x:v>
      </x:c>
      <x:c r="G368" s="7" t="n">
        <x:f>SUMIF($B$5:$B$563,B368,$D$5:$D$563)</x:f>
        <x:v>7670</x:v>
      </x:c>
    </x:row>
    <x:row r="369">
      <x:c r="A369" s="6" t="n">
        <x:v>46210</x:v>
      </x:c>
      <x:c r="B369" t="str">
        <x:v>Saif Industrial Supply Co</x:v>
      </x:c>
      <x:c r="C369" t="str">
        <x:v>NA/1406/26-27</x:v>
      </x:c>
      <x:c r="D369" s="7" t="n">
        <x:v>3300</x:v>
      </x:c>
      <x:c r="E369" s="6" t="n">
        <x:v>46210</x:v>
      </x:c>
      <x:c r="F369" t="n">
        <x:f>TODAY()-E369</x:f>
        <x:v>25</x:v>
      </x:c>
      <x:c r="G369" s="7" t="n">
        <x:f>SUMIF($B$5:$B$563,B369,$D$5:$D$563)</x:f>
        <x:v>4700</x:v>
      </x:c>
    </x:row>
    <x:row r="370">
      <x:c r="A370" s="6" t="n">
        <x:v>46210</x:v>
      </x:c>
      <x:c r="B370" t="str">
        <x:v>SHANTHI ELECTRICALS AND HARDWARES</x:v>
      </x:c>
      <x:c r="C370" t="str">
        <x:v>NA/1412/26-27</x:v>
      </x:c>
      <x:c r="D370" s="7" t="n">
        <x:v>3700</x:v>
      </x:c>
      <x:c r="E370" s="6" t="n">
        <x:v>46210</x:v>
      </x:c>
      <x:c r="F370" t="n">
        <x:f>TODAY()-E370</x:f>
        <x:v>25</x:v>
      </x:c>
      <x:c r="G370" s="7" t="n">
        <x:f>SUMIF($B$5:$B$563,B370,$D$5:$D$563)</x:f>
        <x:v>8878</x:v>
      </x:c>
    </x:row>
    <x:row r="371">
      <x:c r="A371" s="6" t="n">
        <x:v>46210</x:v>
      </x:c>
      <x:c r="B371" t="str">
        <x:v>TRUE VALUE SHOES AND SAFETY</x:v>
      </x:c>
      <x:c r="C371" t="str">
        <x:v>NA/1410/26-27</x:v>
      </x:c>
      <x:c r="D371" s="7" t="n">
        <x:v>9245</x:v>
      </x:c>
      <x:c r="E371" s="6" t="n">
        <x:v>46210</x:v>
      </x:c>
      <x:c r="F371" t="n">
        <x:f>TODAY()-E371</x:f>
        <x:v>25</x:v>
      </x:c>
      <x:c r="G371" s="7" t="n">
        <x:f>SUMIF($B$5:$B$563,B371,$D$5:$D$563)</x:f>
        <x:v>68445</x:v>
      </x:c>
    </x:row>
    <x:row r="372">
      <x:c r="A372" s="6" t="n">
        <x:v>46210</x:v>
      </x:c>
      <x:c r="B372" t="str">
        <x:v>Universal Hardware &amp; Tools Corp</x:v>
      </x:c>
      <x:c r="C372" t="str">
        <x:v>NA/1407/26-27</x:v>
      </x:c>
      <x:c r="D372" s="7" t="n">
        <x:v>2112</x:v>
      </x:c>
      <x:c r="E372" s="6" t="n">
        <x:v>46210</x:v>
      </x:c>
      <x:c r="F372" t="n">
        <x:f>TODAY()-E372</x:f>
        <x:v>25</x:v>
      </x:c>
      <x:c r="G372" s="7" t="n">
        <x:f>SUMIF($B$5:$B$563,B372,$D$5:$D$563)</x:f>
        <x:v>19560</x:v>
      </x:c>
    </x:row>
    <x:row r="373">
      <x:c r="A373" s="6" t="n">
        <x:v>46211</x:v>
      </x:c>
      <x:c r="B373" t="str">
        <x:v>AM Machine Tools Centre</x:v>
      </x:c>
      <x:c r="C373" t="str">
        <x:v>NA/1428/26-27</x:v>
      </x:c>
      <x:c r="D373" s="7" t="n">
        <x:v>15000</x:v>
      </x:c>
      <x:c r="E373" s="6" t="n">
        <x:v>46211</x:v>
      </x:c>
      <x:c r="F373" t="n">
        <x:f>TODAY()-E373</x:f>
        <x:v>24</x:v>
      </x:c>
      <x:c r="G373" s="7" t="n">
        <x:f>SUMIF($B$5:$B$563,B373,$D$5:$D$563)</x:f>
        <x:v>17788</x:v>
      </x:c>
    </x:row>
    <x:row r="374">
      <x:c r="A374" s="6" t="n">
        <x:v>46211</x:v>
      </x:c>
      <x:c r="B374" t="str">
        <x:v>Hitech Engineering Works</x:v>
      </x:c>
      <x:c r="C374" t="str">
        <x:v>NA/1429/26-27</x:v>
      </x:c>
      <x:c r="D374" s="7" t="n">
        <x:v>1500</x:v>
      </x:c>
      <x:c r="E374" s="6" t="n">
        <x:v>46211</x:v>
      </x:c>
      <x:c r="F374" t="n">
        <x:f>TODAY()-E374</x:f>
        <x:v>24</x:v>
      </x:c>
      <x:c r="G374" s="7" t="n">
        <x:f>SUMIF($B$5:$B$563,B374,$D$5:$D$563)</x:f>
        <x:v>3365</x:v>
      </x:c>
    </x:row>
    <x:row r="375">
      <x:c r="A375" s="6" t="n">
        <x:v>46211</x:v>
      </x:c>
      <x:c r="B375" t="str">
        <x:v>Quadari Enterprises</x:v>
      </x:c>
      <x:c r="C375" t="str">
        <x:v>NA/1435/26-27</x:v>
      </x:c>
      <x:c r="D375" s="7" t="n">
        <x:v>25920</x:v>
      </x:c>
      <x:c r="E375" s="6" t="n">
        <x:v>46211</x:v>
      </x:c>
      <x:c r="F375" t="n">
        <x:f>TODAY()-E375</x:f>
        <x:v>24</x:v>
      </x:c>
      <x:c r="G375" s="7" t="n">
        <x:f>SUMIF($B$5:$B$563,B375,$D$5:$D$563)</x:f>
        <x:v>58985</x:v>
      </x:c>
    </x:row>
    <x:row r="376">
      <x:c r="A376" s="6" t="n">
        <x:v>46211</x:v>
      </x:c>
      <x:c r="B376" t="str">
        <x:v>SHANTHI ELECTRICALS AND HARDWARES</x:v>
      </x:c>
      <x:c r="C376" t="str">
        <x:v>NA/1421/26-27</x:v>
      </x:c>
      <x:c r="D376" s="7" t="n">
        <x:v>850</x:v>
      </x:c>
      <x:c r="E376" s="6" t="n">
        <x:v>46211</x:v>
      </x:c>
      <x:c r="F376" t="n">
        <x:f>TODAY()-E376</x:f>
        <x:v>24</x:v>
      </x:c>
      <x:c r="G376" s="7" t="n">
        <x:f>SUMIF($B$5:$B$563,B376,$D$5:$D$563)</x:f>
        <x:v>8878</x:v>
      </x:c>
    </x:row>
    <x:row r="377">
      <x:c r="A377" s="6" t="n">
        <x:v>46211</x:v>
      </x:c>
      <x:c r="B377" t="str">
        <x:v>TOTAR FABS ENI PRIVATE LIMITED</x:v>
      </x:c>
      <x:c r="C377" t="str">
        <x:v>NA/1418/26-27</x:v>
      </x:c>
      <x:c r="D377" s="7" t="n">
        <x:v>520</x:v>
      </x:c>
      <x:c r="E377" s="6" t="n">
        <x:v>46211</x:v>
      </x:c>
      <x:c r="F377" t="n">
        <x:f>TODAY()-E377</x:f>
        <x:v>24</x:v>
      </x:c>
      <x:c r="G377" s="7" t="n">
        <x:f>SUMIF($B$5:$B$563,B377,$D$5:$D$563)</x:f>
        <x:v>7480</x:v>
      </x:c>
    </x:row>
    <x:row r="378">
      <x:c r="A378" s="6" t="n">
        <x:v>46212</x:v>
      </x:c>
      <x:c r="B378" t="str">
        <x:v>Degon Traders</x:v>
      </x:c>
      <x:c r="C378" t="str">
        <x:v>NA/1456/26-27</x:v>
      </x:c>
      <x:c r="D378" s="7" t="n">
        <x:v>7296</x:v>
      </x:c>
      <x:c r="E378" s="6" t="n">
        <x:v>46212</x:v>
      </x:c>
      <x:c r="F378" t="n">
        <x:f>TODAY()-E378</x:f>
        <x:v>23</x:v>
      </x:c>
      <x:c r="G378" s="7" t="n">
        <x:f>SUMIF($B$5:$B$563,B378,$D$5:$D$563)</x:f>
        <x:v>17096</x:v>
      </x:c>
    </x:row>
    <x:row r="379">
      <x:c r="A379" s="6" t="n">
        <x:v>46212</x:v>
      </x:c>
      <x:c r="B379" t="str">
        <x:v>Fahi Q Innovation</x:v>
      </x:c>
      <x:c r="C379" t="str">
        <x:v>NA/1460/26-27</x:v>
      </x:c>
      <x:c r="D379" s="7" t="n">
        <x:v>8921</x:v>
      </x:c>
      <x:c r="E379" s="6" t="n">
        <x:v>46212</x:v>
      </x:c>
      <x:c r="F379" t="n">
        <x:f>TODAY()-E379</x:f>
        <x:v>23</x:v>
      </x:c>
      <x:c r="G379" s="7" t="n">
        <x:f>SUMIF($B$5:$B$563,B379,$D$5:$D$563)</x:f>
        <x:v>68959</x:v>
      </x:c>
    </x:row>
    <x:row r="380">
      <x:c r="A380" s="6" t="n">
        <x:v>46212</x:v>
      </x:c>
      <x:c r="B380" t="str">
        <x:v>Noor Traders</x:v>
      </x:c>
      <x:c r="C380" t="str">
        <x:v>NA/1454/26-27</x:v>
      </x:c>
      <x:c r="D380" s="7" t="n">
        <x:v>18129</x:v>
      </x:c>
      <x:c r="E380" s="6" t="n">
        <x:v>46212</x:v>
      </x:c>
      <x:c r="F380" t="n">
        <x:f>TODAY()-E380</x:f>
        <x:v>23</x:v>
      </x:c>
      <x:c r="G380" s="7" t="n">
        <x:f>SUMIF($B$5:$B$563,B380,$D$5:$D$563)</x:f>
        <x:v>108563</x:v>
      </x:c>
    </x:row>
    <x:row r="381">
      <x:c r="A381" s="6" t="n">
        <x:v>46212</x:v>
      </x:c>
      <x:c r="B381" t="str">
        <x:v>Safeboy Safety Solutions</x:v>
      </x:c>
      <x:c r="C381" t="str">
        <x:v>NA/1444/26-27</x:v>
      </x:c>
      <x:c r="D381" s="7" t="n">
        <x:v>1301</x:v>
      </x:c>
      <x:c r="E381" s="6" t="n">
        <x:v>46212</x:v>
      </x:c>
      <x:c r="F381" t="n">
        <x:f>TODAY()-E381</x:f>
        <x:v>23</x:v>
      </x:c>
      <x:c r="G381" s="7" t="n">
        <x:f>SUMIF($B$5:$B$563,B381,$D$5:$D$563)</x:f>
        <x:v>22276</x:v>
      </x:c>
    </x:row>
    <x:row r="382">
      <x:c r="A382" s="6" t="n">
        <x:v>46212</x:v>
      </x:c>
      <x:c r="B382" t="str">
        <x:v>SK SHRI KUMARAN ELECTRICALS LIGHTS AND PLUMBING</x:v>
      </x:c>
      <x:c r="C382" t="str">
        <x:v>NA/1457/26-27</x:v>
      </x:c>
      <x:c r="D382" s="7" t="n">
        <x:v>19057</x:v>
      </x:c>
      <x:c r="E382" s="6" t="n">
        <x:v>46212</x:v>
      </x:c>
      <x:c r="F382" t="n">
        <x:f>TODAY()-E382</x:f>
        <x:v>23</x:v>
      </x:c>
      <x:c r="G382" s="7" t="n">
        <x:f>SUMIF($B$5:$B$563,B382,$D$5:$D$563)</x:f>
        <x:v>19057</x:v>
      </x:c>
    </x:row>
    <x:row r="383">
      <x:c r="A383" s="6" t="n">
        <x:v>46212</x:v>
      </x:c>
      <x:c r="B383" t="str">
        <x:v>South India Trading Company</x:v>
      </x:c>
      <x:c r="C383" t="str">
        <x:v>NA/1451/26-27</x:v>
      </x:c>
      <x:c r="D383" s="7" t="n">
        <x:v>332</x:v>
      </x:c>
      <x:c r="E383" s="6" t="n">
        <x:v>46212</x:v>
      </x:c>
      <x:c r="F383" t="n">
        <x:f>TODAY()-E383</x:f>
        <x:v>23</x:v>
      </x:c>
      <x:c r="G383" s="7" t="n">
        <x:f>SUMIF($B$5:$B$563,B383,$D$5:$D$563)</x:f>
        <x:v>2092</x:v>
      </x:c>
    </x:row>
    <x:row r="384">
      <x:c r="A384" s="6" t="n">
        <x:v>46212</x:v>
      </x:c>
      <x:c r="B384" t="str">
        <x:v>Sri Krishna Wire Netting Company</x:v>
      </x:c>
      <x:c r="C384" t="str">
        <x:v>NA/1442/26-27</x:v>
      </x:c>
      <x:c r="D384" s="7" t="n">
        <x:v>23100</x:v>
      </x:c>
      <x:c r="E384" s="6" t="n">
        <x:v>46212</x:v>
      </x:c>
      <x:c r="F384" t="n">
        <x:f>TODAY()-E384</x:f>
        <x:v>23</x:v>
      </x:c>
      <x:c r="G384" s="7" t="n">
        <x:f>SUMIF($B$5:$B$563,B384,$D$5:$D$563)</x:f>
        <x:v>23100</x:v>
      </x:c>
    </x:row>
    <x:row r="385">
      <x:c r="A385" s="6" t="n">
        <x:v>46212</x:v>
      </x:c>
      <x:c r="B385" t="str">
        <x:v>SSTG TECHNOLOGIES INDIA PRIVATE LIMITED</x:v>
      </x:c>
      <x:c r="C385" t="str">
        <x:v>NA/1450/26-27</x:v>
      </x:c>
      <x:c r="D385" s="7" t="n">
        <x:v>619</x:v>
      </x:c>
      <x:c r="E385" s="6" t="n">
        <x:v>46212</x:v>
      </x:c>
      <x:c r="F385" t="n">
        <x:f>TODAY()-E385</x:f>
        <x:v>23</x:v>
      </x:c>
      <x:c r="G385" s="7" t="n">
        <x:f>SUMIF($B$5:$B$563,B385,$D$5:$D$563)</x:f>
        <x:v>109542</x:v>
      </x:c>
    </x:row>
    <x:row r="386">
      <x:c r="A386" s="6" t="n">
        <x:v>46212</x:v>
      </x:c>
      <x:c r="B386" t="str">
        <x:v>Universal Machinery and Hardware Mart</x:v>
      </x:c>
      <x:c r="C386" t="str">
        <x:v>NA/1463/26-27</x:v>
      </x:c>
      <x:c r="D386" s="7" t="n">
        <x:v>1448</x:v>
      </x:c>
      <x:c r="E386" s="6" t="n">
        <x:v>46212</x:v>
      </x:c>
      <x:c r="F386" t="n">
        <x:f>TODAY()-E386</x:f>
        <x:v>23</x:v>
      </x:c>
      <x:c r="G386" s="7" t="n">
        <x:f>SUMIF($B$5:$B$563,B386,$D$5:$D$563)</x:f>
        <x:v>1448</x:v>
      </x:c>
    </x:row>
    <x:row r="387">
      <x:c r="A387" s="6" t="n">
        <x:v>46213</x:v>
      </x:c>
      <x:c r="B387" t="str">
        <x:v>Argo Hytos Pvt.Ltd</x:v>
      </x:c>
      <x:c r="C387" t="str">
        <x:v>NA/1483/26-27</x:v>
      </x:c>
      <x:c r="D387" s="7" t="n">
        <x:v>732</x:v>
      </x:c>
      <x:c r="E387" s="6" t="n">
        <x:v>46213</x:v>
      </x:c>
      <x:c r="F387" t="n">
        <x:f>TODAY()-E387</x:f>
        <x:v>22</x:v>
      </x:c>
      <x:c r="G387" s="7" t="n">
        <x:f>SUMIF($B$5:$B$563,B387,$D$5:$D$563)</x:f>
        <x:v>52708</x:v>
      </x:c>
    </x:row>
    <x:row r="388">
      <x:c r="A388" s="6" t="n">
        <x:v>46213</x:v>
      </x:c>
      <x:c r="B388" t="str">
        <x:v>Arun Rega Bakery Machineries PVT LTD UNIT-II</x:v>
      </x:c>
      <x:c r="C388" t="str">
        <x:v>NA/1478/26-27</x:v>
      </x:c>
      <x:c r="D388" s="7" t="n">
        <x:v>1238</x:v>
      </x:c>
      <x:c r="E388" s="6" t="n">
        <x:v>46213</x:v>
      </x:c>
      <x:c r="F388" t="n">
        <x:f>TODAY()-E388</x:f>
        <x:v>22</x:v>
      </x:c>
      <x:c r="G388" s="7" t="n">
        <x:f>SUMIF($B$5:$B$563,B388,$D$5:$D$563)</x:f>
        <x:v>1238</x:v>
      </x:c>
    </x:row>
    <x:row r="389">
      <x:c r="A389" s="6" t="n">
        <x:v>46213</x:v>
      </x:c>
      <x:c r="B389" t="str">
        <x:v>B M Trade Links</x:v>
      </x:c>
      <x:c r="C389" t="str">
        <x:v>NA/1468/26-27</x:v>
      </x:c>
      <x:c r="D389" s="7" t="n">
        <x:v>3300</x:v>
      </x:c>
      <x:c r="E389" s="6" t="n">
        <x:v>46213</x:v>
      </x:c>
      <x:c r="F389" t="n">
        <x:f>TODAY()-E389</x:f>
        <x:v>22</x:v>
      </x:c>
      <x:c r="G389" s="7" t="n">
        <x:f>SUMIF($B$5:$B$563,B389,$D$5:$D$563)</x:f>
        <x:v>23286</x:v>
      </x:c>
    </x:row>
    <x:row r="390">
      <x:c r="A390" s="6" t="n">
        <x:v>46213</x:v>
      </x:c>
      <x:c r="B390" t="str">
        <x:v>Hitech Engineering Works</x:v>
      </x:c>
      <x:c r="C390" t="str">
        <x:v>NA/1476/26-27</x:v>
      </x:c>
      <x:c r="D390" s="7" t="n">
        <x:v>307</x:v>
      </x:c>
      <x:c r="E390" s="6" t="n">
        <x:v>46213</x:v>
      </x:c>
      <x:c r="F390" t="n">
        <x:f>TODAY()-E390</x:f>
        <x:v>22</x:v>
      </x:c>
      <x:c r="G390" s="7" t="n">
        <x:f>SUMIF($B$5:$B$563,B390,$D$5:$D$563)</x:f>
        <x:v>3365</x:v>
      </x:c>
    </x:row>
    <x:row r="391">
      <x:c r="A391" s="6" t="n">
        <x:v>46213</x:v>
      </x:c>
      <x:c r="B391" t="str">
        <x:v>SSTG TECHNOLOGIES INDIA PRIVATE LIMITED</x:v>
      </x:c>
      <x:c r="C391" t="str">
        <x:v>NA/1474/26-27</x:v>
      </x:c>
      <x:c r="D391" s="7" t="n">
        <x:v>11025</x:v>
      </x:c>
      <x:c r="E391" s="6" t="n">
        <x:v>46213</x:v>
      </x:c>
      <x:c r="F391" t="n">
        <x:f>TODAY()-E391</x:f>
        <x:v>22</x:v>
      </x:c>
      <x:c r="G391" s="7" t="n">
        <x:f>SUMIF($B$5:$B$563,B391,$D$5:$D$563)</x:f>
        <x:v>109542</x:v>
      </x:c>
    </x:row>
    <x:row r="392">
      <x:c r="A392" s="6" t="n">
        <x:v>46213</x:v>
      </x:c>
      <x:c r="B392" t="str">
        <x:v>TOTAR FABS ENI PRIVATE LIMITED</x:v>
      </x:c>
      <x:c r="C392" t="str">
        <x:v>NA/1482/26-27</x:v>
      </x:c>
      <x:c r="D392" s="7" t="n">
        <x:v>750</x:v>
      </x:c>
      <x:c r="E392" s="6" t="n">
        <x:v>46213</x:v>
      </x:c>
      <x:c r="F392" t="n">
        <x:f>TODAY()-E392</x:f>
        <x:v>22</x:v>
      </x:c>
      <x:c r="G392" s="7" t="n">
        <x:f>SUMIF($B$5:$B$563,B392,$D$5:$D$563)</x:f>
        <x:v>7480</x:v>
      </x:c>
    </x:row>
    <x:row r="393">
      <x:c r="A393" s="6" t="n">
        <x:v>46213</x:v>
      </x:c>
      <x:c r="B393" t="str">
        <x:v>TRUE VALUE SHOES AND SAFETY</x:v>
      </x:c>
      <x:c r="C393" t="str">
        <x:v>NA/1480/26-27</x:v>
      </x:c>
      <x:c r="D393" s="7" t="n">
        <x:v>4200</x:v>
      </x:c>
      <x:c r="E393" s="6" t="n">
        <x:v>46213</x:v>
      </x:c>
      <x:c r="F393" t="n">
        <x:f>TODAY()-E393</x:f>
        <x:v>22</x:v>
      </x:c>
      <x:c r="G393" s="7" t="n">
        <x:f>SUMIF($B$5:$B$563,B393,$D$5:$D$563)</x:f>
        <x:v>68445</x:v>
      </x:c>
    </x:row>
    <x:row r="394">
      <x:c r="A394" s="6" t="n">
        <x:v>46213</x:v>
      </x:c>
      <x:c r="B394" t="str">
        <x:v>Union Enterprises</x:v>
      </x:c>
      <x:c r="C394" t="str">
        <x:v>NA/1467/26-27</x:v>
      </x:c>
      <x:c r="D394" s="7" t="n">
        <x:v>2673</x:v>
      </x:c>
      <x:c r="E394" s="6" t="n">
        <x:v>46213</x:v>
      </x:c>
      <x:c r="F394" t="n">
        <x:f>TODAY()-E394</x:f>
        <x:v>22</x:v>
      </x:c>
      <x:c r="G394" s="7" t="n">
        <x:f>SUMIF($B$5:$B$563,B394,$D$5:$D$563)</x:f>
        <x:v>23173</x:v>
      </x:c>
    </x:row>
    <x:row r="395">
      <x:c r="A395" s="6" t="n">
        <x:v>46214</x:v>
      </x:c>
      <x:c r="B395" t="str">
        <x:v>Al Anwar Industrial Stores</x:v>
      </x:c>
      <x:c r="C395" t="str">
        <x:v>NA/1505/26-27</x:v>
      </x:c>
      <x:c r="D395" s="7" t="n">
        <x:v>3250</x:v>
      </x:c>
      <x:c r="E395" s="6" t="n">
        <x:v>46214</x:v>
      </x:c>
      <x:c r="F395" t="n">
        <x:f>TODAY()-E395</x:f>
        <x:v>21</x:v>
      </x:c>
      <x:c r="G395" s="7" t="n">
        <x:f>SUMIF($B$5:$B$563,B395,$D$5:$D$563)</x:f>
        <x:v>26244</x:v>
      </x:c>
    </x:row>
    <x:row r="396">
      <x:c r="A396" s="6" t="n">
        <x:v>46214</x:v>
      </x:c>
      <x:c r="B396" t="str">
        <x:v>Auto Mech Tools</x:v>
      </x:c>
      <x:c r="C396" t="str">
        <x:v>NA/1490/26-27</x:v>
      </x:c>
      <x:c r="D396" s="7" t="n">
        <x:v>1500</x:v>
      </x:c>
      <x:c r="E396" s="6" t="n">
        <x:v>46214</x:v>
      </x:c>
      <x:c r="F396" t="n">
        <x:f>TODAY()-E396</x:f>
        <x:v>21</x:v>
      </x:c>
      <x:c r="G396" s="7" t="n">
        <x:f>SUMIF($B$5:$B$563,B396,$D$5:$D$563)</x:f>
        <x:v>92608</x:v>
      </x:c>
    </x:row>
    <x:row r="397">
      <x:c r="A397" s="6" t="n">
        <x:v>46214</x:v>
      </x:c>
      <x:c r="B397" t="str">
        <x:v>General Industrial Suppliers</x:v>
      </x:c>
      <x:c r="C397" t="str">
        <x:v>NA/1498/26-27</x:v>
      </x:c>
      <x:c r="D397" s="7" t="n">
        <x:v>25110</x:v>
      </x:c>
      <x:c r="E397" s="6" t="n">
        <x:v>46214</x:v>
      </x:c>
      <x:c r="F397" t="n">
        <x:f>TODAY()-E397</x:f>
        <x:v>21</x:v>
      </x:c>
      <x:c r="G397" s="7" t="n">
        <x:f>SUMIF($B$5:$B$563,B397,$D$5:$D$563)</x:f>
        <x:v>145391</x:v>
      </x:c>
    </x:row>
    <x:row r="398">
      <x:c r="A398" s="6" t="n">
        <x:v>46214</x:v>
      </x:c>
      <x:c r="B398" t="str">
        <x:v>GIS Engineering Co</x:v>
      </x:c>
      <x:c r="C398" t="str">
        <x:v>NA/1497/26-27</x:v>
      </x:c>
      <x:c r="D398" s="7" t="n">
        <x:v>13047</x:v>
      </x:c>
      <x:c r="E398" s="6" t="n">
        <x:v>46214</x:v>
      </x:c>
      <x:c r="F398" t="n">
        <x:f>TODAY()-E398</x:f>
        <x:v>21</x:v>
      </x:c>
      <x:c r="G398" s="7" t="n">
        <x:f>SUMIF($B$5:$B$563,B398,$D$5:$D$563)</x:f>
        <x:v>67304</x:v>
      </x:c>
    </x:row>
    <x:row r="399">
      <x:c r="A399" s="6" t="n">
        <x:v>46214</x:v>
      </x:c>
      <x:c r="B399" t="str">
        <x:v>IMANI AND CO</x:v>
      </x:c>
      <x:c r="C399" t="str">
        <x:v>NA/1508/26-27</x:v>
      </x:c>
      <x:c r="D399" s="7" t="n">
        <x:v>178</x:v>
      </x:c>
      <x:c r="E399" s="6" t="n">
        <x:v>46214</x:v>
      </x:c>
      <x:c r="F399" t="n">
        <x:f>TODAY()-E399</x:f>
        <x:v>21</x:v>
      </x:c>
      <x:c r="G399" s="7" t="n">
        <x:f>SUMIF($B$5:$B$563,B399,$D$5:$D$563)</x:f>
        <x:v>178</x:v>
      </x:c>
    </x:row>
    <x:row r="400">
      <x:c r="A400" s="6" t="n">
        <x:v>46214</x:v>
      </x:c>
      <x:c r="B400" t="str">
        <x:v>Nandhu Coats</x:v>
      </x:c>
      <x:c r="C400" t="str">
        <x:v>NA/1493/26-27</x:v>
      </x:c>
      <x:c r="D400" s="7" t="n">
        <x:v>13547</x:v>
      </x:c>
      <x:c r="E400" s="6" t="n">
        <x:v>46214</x:v>
      </x:c>
      <x:c r="F400" t="n">
        <x:f>TODAY()-E400</x:f>
        <x:v>21</x:v>
      </x:c>
      <x:c r="G400" s="7" t="n">
        <x:f>SUMIF($B$5:$B$563,B400,$D$5:$D$563)</x:f>
        <x:v>182236</x:v>
      </x:c>
    </x:row>
    <x:row r="401">
      <x:c r="A401" s="6" t="n">
        <x:v>46214</x:v>
      </x:c>
      <x:c r="B401" t="str">
        <x:v>Prime Trading Company</x:v>
      </x:c>
      <x:c r="C401" t="str">
        <x:v>NA/1496/26-27</x:v>
      </x:c>
      <x:c r="D401" s="7" t="n">
        <x:v>26519</x:v>
      </x:c>
      <x:c r="E401" s="6" t="n">
        <x:v>46214</x:v>
      </x:c>
      <x:c r="F401" t="n">
        <x:f>TODAY()-E401</x:f>
        <x:v>21</x:v>
      </x:c>
      <x:c r="G401" s="7" t="n">
        <x:f>SUMIF($B$5:$B$563,B401,$D$5:$D$563)</x:f>
        <x:v>107502</x:v>
      </x:c>
    </x:row>
    <x:row r="402">
      <x:c r="A402" s="6" t="n">
        <x:v>46214</x:v>
      </x:c>
      <x:c r="B402" t="str">
        <x:v>S to Z Traders</x:v>
      </x:c>
      <x:c r="C402" t="str">
        <x:v>NA/1500/26-27</x:v>
      </x:c>
      <x:c r="D402" s="7" t="n">
        <x:v>7195</x:v>
      </x:c>
      <x:c r="E402" s="6" t="n">
        <x:v>46214</x:v>
      </x:c>
      <x:c r="F402" t="n">
        <x:f>TODAY()-E402</x:f>
        <x:v>21</x:v>
      </x:c>
      <x:c r="G402" s="7" t="n">
        <x:f>SUMIF($B$5:$B$563,B402,$D$5:$D$563)</x:f>
        <x:v>77473</x:v>
      </x:c>
    </x:row>
    <x:row r="403">
      <x:c r="A403" s="6" t="n">
        <x:v>46214</x:v>
      </x:c>
      <x:c r="B403" t="str">
        <x:v>Triumph Trading Company</x:v>
      </x:c>
      <x:c r="C403" t="str">
        <x:v>NA/1492/26-27</x:v>
      </x:c>
      <x:c r="D403" s="7" t="n">
        <x:v>450</x:v>
      </x:c>
      <x:c r="E403" s="6" t="n">
        <x:v>46214</x:v>
      </x:c>
      <x:c r="F403" t="n">
        <x:f>TODAY()-E403</x:f>
        <x:v>21</x:v>
      </x:c>
      <x:c r="G403" s="7" t="n">
        <x:f>SUMIF($B$5:$B$563,B403,$D$5:$D$563)</x:f>
        <x:v>29138</x:v>
      </x:c>
    </x:row>
    <x:row r="404">
      <x:c r="A404" s="6" t="n">
        <x:v>46214</x:v>
      </x:c>
      <x:c r="B404" t="str">
        <x:v>Universal Hardware &amp; Tools Corp</x:v>
      </x:c>
      <x:c r="C404" t="str">
        <x:v>NA/1501/26-27</x:v>
      </x:c>
      <x:c r="D404" s="7" t="n">
        <x:v>7750</x:v>
      </x:c>
      <x:c r="E404" s="6" t="n">
        <x:v>46214</x:v>
      </x:c>
      <x:c r="F404" t="n">
        <x:f>TODAY()-E404</x:f>
        <x:v>21</x:v>
      </x:c>
      <x:c r="G404" s="7" t="n">
        <x:f>SUMIF($B$5:$B$563,B404,$D$5:$D$563)</x:f>
        <x:v>19560</x:v>
      </x:c>
    </x:row>
    <x:row r="405">
      <x:c r="A405" s="6" t="n">
        <x:v>46214</x:v>
      </x:c>
      <x:c r="B405" t="str">
        <x:v>V Guard Industries Ltd (EMW)</x:v>
      </x:c>
      <x:c r="C405" t="str">
        <x:v>NA/1487/26-27</x:v>
      </x:c>
      <x:c r="D405" s="7" t="n">
        <x:v>12107</x:v>
      </x:c>
      <x:c r="E405" s="6" t="n">
        <x:v>46214</x:v>
      </x:c>
      <x:c r="F405" t="n">
        <x:f>TODAY()-E405</x:f>
        <x:v>21</x:v>
      </x:c>
      <x:c r="G405" s="7" t="n">
        <x:f>SUMIF($B$5:$B$563,B405,$D$5:$D$563)</x:f>
        <x:v>70377</x:v>
      </x:c>
    </x:row>
    <x:row r="406">
      <x:c r="A406" s="6" t="n">
        <x:v>46216</x:v>
      </x:c>
      <x:c r="B406" t="str">
        <x:v>Abbas Marketing</x:v>
      </x:c>
      <x:c r="C406" t="str">
        <x:v>NA/1522/26-27</x:v>
      </x:c>
      <x:c r="D406" s="7" t="n">
        <x:v>338</x:v>
      </x:c>
      <x:c r="E406" s="6" t="n">
        <x:v>46216</x:v>
      </x:c>
      <x:c r="F406" t="n">
        <x:f>TODAY()-E406</x:f>
        <x:v>19</x:v>
      </x:c>
      <x:c r="G406" s="7" t="n">
        <x:f>SUMIF($B$5:$B$563,B406,$D$5:$D$563)</x:f>
        <x:v>338</x:v>
      </x:c>
    </x:row>
    <x:row r="407">
      <x:c r="A407" s="6" t="n">
        <x:v>46216</x:v>
      </x:c>
      <x:c r="B407" t="str">
        <x:v>Burhani Traders</x:v>
      </x:c>
      <x:c r="C407" t="str">
        <x:v>NA/1517/26-27</x:v>
      </x:c>
      <x:c r="D407" s="7" t="n">
        <x:v>8400</x:v>
      </x:c>
      <x:c r="E407" s="6" t="n">
        <x:v>46216</x:v>
      </x:c>
      <x:c r="F407" t="n">
        <x:f>TODAY()-E407</x:f>
        <x:v>19</x:v>
      </x:c>
      <x:c r="G407" s="7" t="n">
        <x:f>SUMIF($B$5:$B$563,B407,$D$5:$D$563)</x:f>
        <x:v>238111</x:v>
      </x:c>
    </x:row>
    <x:row r="408">
      <x:c r="A408" s="6" t="n">
        <x:v>46216</x:v>
      </x:c>
      <x:c r="B408" t="str">
        <x:v>COMET TOOLS AND HARDWARE STORES</x:v>
      </x:c>
      <x:c r="C408" t="str">
        <x:v>NA/1530/26-27</x:v>
      </x:c>
      <x:c r="D408" s="7" t="n">
        <x:v>2176</x:v>
      </x:c>
      <x:c r="E408" s="6" t="n">
        <x:v>46216</x:v>
      </x:c>
      <x:c r="F408" t="n">
        <x:f>TODAY()-E408</x:f>
        <x:v>19</x:v>
      </x:c>
      <x:c r="G408" s="7" t="n">
        <x:f>SUMIF($B$5:$B$563,B408,$D$5:$D$563)</x:f>
        <x:v>7349</x:v>
      </x:c>
    </x:row>
    <x:row r="409">
      <x:c r="A409" s="6" t="n">
        <x:v>46216</x:v>
      </x:c>
      <x:c r="B409" t="str">
        <x:v>Excellent Engineering Enterprises</x:v>
      </x:c>
      <x:c r="C409" t="str">
        <x:v>NA/1521/26-27</x:v>
      </x:c>
      <x:c r="D409" s="7" t="n">
        <x:v>6000</x:v>
      </x:c>
      <x:c r="E409" s="6" t="n">
        <x:v>46216</x:v>
      </x:c>
      <x:c r="F409" t="n">
        <x:f>TODAY()-E409</x:f>
        <x:v>19</x:v>
      </x:c>
      <x:c r="G409" s="7" t="n">
        <x:f>SUMIF($B$5:$B$563,B409,$D$5:$D$563)</x:f>
        <x:v>115200</x:v>
      </x:c>
    </x:row>
    <x:row r="410">
      <x:c r="A410" s="6" t="n">
        <x:v>46216</x:v>
      </x:c>
      <x:c r="B410" t="str">
        <x:v>HINDUSTAN AUTOMATIONS</x:v>
      </x:c>
      <x:c r="C410" t="str">
        <x:v>NA/1526/26-27</x:v>
      </x:c>
      <x:c r="D410" s="7" t="n">
        <x:v>6344</x:v>
      </x:c>
      <x:c r="E410" s="6" t="n">
        <x:v>46216</x:v>
      </x:c>
      <x:c r="F410" t="n">
        <x:f>TODAY()-E410</x:f>
        <x:v>19</x:v>
      </x:c>
      <x:c r="G410" s="7" t="n">
        <x:f>SUMIF($B$5:$B$563,B410,$D$5:$D$563)</x:f>
        <x:v>22266</x:v>
      </x:c>
    </x:row>
    <x:row r="411">
      <x:c r="A411" s="6" t="n">
        <x:v>46216</x:v>
      </x:c>
      <x:c r="B411" t="str">
        <x:v>South India Trading Agencies</x:v>
      </x:c>
      <x:c r="C411" t="str">
        <x:v>NA/1525/26-27</x:v>
      </x:c>
      <x:c r="D411" s="7" t="n">
        <x:v>339</x:v>
      </x:c>
      <x:c r="E411" s="6" t="n">
        <x:v>46216</x:v>
      </x:c>
      <x:c r="F411" t="n">
        <x:f>TODAY()-E411</x:f>
        <x:v>19</x:v>
      </x:c>
      <x:c r="G411" s="7" t="n">
        <x:f>SUMIF($B$5:$B$563,B411,$D$5:$D$563)</x:f>
        <x:v>594</x:v>
      </x:c>
    </x:row>
    <x:row r="412">
      <x:c r="A412" s="6" t="n">
        <x:v>46216</x:v>
      </x:c>
      <x:c r="B412" t="str">
        <x:v>Sri Meenakshi Hardware and Tools</x:v>
      </x:c>
      <x:c r="C412" t="str">
        <x:v>NA/1513/26-27</x:v>
      </x:c>
      <x:c r="D412" s="7" t="n">
        <x:v>8700</x:v>
      </x:c>
      <x:c r="E412" s="6" t="n">
        <x:v>46216</x:v>
      </x:c>
      <x:c r="F412" t="n">
        <x:f>TODAY()-E412</x:f>
        <x:v>19</x:v>
      </x:c>
      <x:c r="G412" s="7" t="n">
        <x:f>SUMIF($B$5:$B$563,B412,$D$5:$D$563)</x:f>
        <x:v>158534</x:v>
      </x:c>
    </x:row>
    <x:row r="413">
      <x:c r="A413" s="6" t="n">
        <x:v>46217</x:v>
      </x:c>
      <x:c r="B413" t="str">
        <x:v>CARBURE ACTIVATED CARBON PRIVATE LIMITED</x:v>
      </x:c>
      <x:c r="C413" t="str">
        <x:v>NA/1543/26-27</x:v>
      </x:c>
      <x:c r="D413" s="7" t="n">
        <x:v>899</x:v>
      </x:c>
      <x:c r="E413" s="6" t="n">
        <x:v>46217</x:v>
      </x:c>
      <x:c r="F413" t="n">
        <x:f>TODAY()-E413</x:f>
        <x:v>18</x:v>
      </x:c>
      <x:c r="G413" s="7" t="n">
        <x:f>SUMIF($B$5:$B$563,B413,$D$5:$D$563)</x:f>
        <x:v>899</x:v>
      </x:c>
    </x:row>
    <x:row r="414">
      <x:c r="A414" s="6" t="n">
        <x:v>46217</x:v>
      </x:c>
      <x:c r="B414" t="str">
        <x:v>Coptech Wire &amp; Cable Private Limited W</x:v>
      </x:c>
      <x:c r="C414" t="str">
        <x:v>NA/1531/26-27</x:v>
      </x:c>
      <x:c r="D414" s="7" t="n">
        <x:v>8174</x:v>
      </x:c>
      <x:c r="E414" s="6" t="n">
        <x:v>46217</x:v>
      </x:c>
      <x:c r="F414" t="n">
        <x:f>TODAY()-E414</x:f>
        <x:v>18</x:v>
      </x:c>
      <x:c r="G414" s="7" t="n">
        <x:f>SUMIF($B$5:$B$563,B414,$D$5:$D$563)</x:f>
        <x:v>8298</x:v>
      </x:c>
    </x:row>
    <x:row r="415">
      <x:c r="A415" s="6" t="n">
        <x:v>46217</x:v>
      </x:c>
      <x:c r="B415" t="str">
        <x:v>Excellent Engineering Enterprises</x:v>
      </x:c>
      <x:c r="C415" t="str">
        <x:v>NA/1542/26-27</x:v>
      </x:c>
      <x:c r="D415" s="7" t="n">
        <x:v>6000</x:v>
      </x:c>
      <x:c r="E415" s="6" t="n">
        <x:v>46217</x:v>
      </x:c>
      <x:c r="F415" t="n">
        <x:f>TODAY()-E415</x:f>
        <x:v>18</x:v>
      </x:c>
      <x:c r="G415" s="7" t="n">
        <x:f>SUMIF($B$5:$B$563,B415,$D$5:$D$563)</x:f>
        <x:v>115200</x:v>
      </x:c>
    </x:row>
    <x:row r="416">
      <x:c r="A416" s="6" t="n">
        <x:v>46217</x:v>
      </x:c>
      <x:c r="B416" t="str">
        <x:v>Safeboy Safety Solutions</x:v>
      </x:c>
      <x:c r="C416" t="str">
        <x:v>NA/1532/26-27</x:v>
      </x:c>
      <x:c r="D416" s="7" t="n">
        <x:v>221</x:v>
      </x:c>
      <x:c r="E416" s="6" t="n">
        <x:v>46217</x:v>
      </x:c>
      <x:c r="F416" t="n">
        <x:f>TODAY()-E416</x:f>
        <x:v>18</x:v>
      </x:c>
      <x:c r="G416" s="7" t="n">
        <x:f>SUMIF($B$5:$B$563,B416,$D$5:$D$563)</x:f>
        <x:v>22276</x:v>
      </x:c>
    </x:row>
    <x:row r="417">
      <x:c r="A417" s="6" t="n">
        <x:v>46217</x:v>
      </x:c>
      <x:c r="B417" t="str">
        <x:v>TOOLCOM INNOVATIVE SOLUTIONS PRIVATE LIMITED</x:v>
      </x:c>
      <x:c r="C417" t="str">
        <x:v>NA/1548/26-27</x:v>
      </x:c>
      <x:c r="D417" s="7" t="n">
        <x:v>3776</x:v>
      </x:c>
      <x:c r="E417" s="6" t="n">
        <x:v>46217</x:v>
      </x:c>
      <x:c r="F417" t="n">
        <x:f>TODAY()-E417</x:f>
        <x:v>18</x:v>
      </x:c>
      <x:c r="G417" s="7" t="n">
        <x:f>SUMIF($B$5:$B$563,B417,$D$5:$D$563)</x:f>
        <x:v>19046</x:v>
      </x:c>
    </x:row>
    <x:row r="418">
      <x:c r="A418" s="6" t="n">
        <x:v>46217</x:v>
      </x:c>
      <x:c r="B418" t="str">
        <x:v>V Guard Industries Ltd (EMW)</x:v>
      </x:c>
      <x:c r="C418" t="str">
        <x:v>NA/1550/26-27</x:v>
      </x:c>
      <x:c r="D418" s="7" t="n">
        <x:v>16000</x:v>
      </x:c>
      <x:c r="E418" s="6" t="n">
        <x:v>46217</x:v>
      </x:c>
      <x:c r="F418" t="n">
        <x:f>TODAY()-E418</x:f>
        <x:v>18</x:v>
      </x:c>
      <x:c r="G418" s="7" t="n">
        <x:f>SUMIF($B$5:$B$563,B418,$D$5:$D$563)</x:f>
        <x:v>70377</x:v>
      </x:c>
    </x:row>
    <x:row r="419">
      <x:c r="A419" s="6" t="n">
        <x:v>46217</x:v>
      </x:c>
      <x:c r="B419" t="str">
        <x:v>V Guard Industries Ltd (EMW)</x:v>
      </x:c>
      <x:c r="C419" t="str">
        <x:v>NA/1551/26-27</x:v>
      </x:c>
      <x:c r="D419" s="7" t="n">
        <x:v>4071</x:v>
      </x:c>
      <x:c r="E419" s="6" t="n">
        <x:v>46217</x:v>
      </x:c>
      <x:c r="F419" t="n">
        <x:f>TODAY()-E419</x:f>
        <x:v>18</x:v>
      </x:c>
      <x:c r="G419" s="7" t="n">
        <x:f>SUMIF($B$5:$B$563,B419,$D$5:$D$563)</x:f>
        <x:v>70377</x:v>
      </x:c>
    </x:row>
    <x:row r="420">
      <x:c r="A420" s="6" t="n">
        <x:v>46217</x:v>
      </x:c>
      <x:c r="B420" t="str">
        <x:v>Velavan Mill Store</x:v>
      </x:c>
      <x:c r="C420" t="str">
        <x:v>NA/1554/26-27</x:v>
      </x:c>
      <x:c r="D420" s="7" t="n">
        <x:v>2709</x:v>
      </x:c>
      <x:c r="E420" s="6" t="n">
        <x:v>46217</x:v>
      </x:c>
      <x:c r="F420" t="n">
        <x:f>TODAY()-E420</x:f>
        <x:v>18</x:v>
      </x:c>
      <x:c r="G420" s="7" t="n">
        <x:f>SUMIF($B$5:$B$563,B420,$D$5:$D$563)</x:f>
        <x:v>44439</x:v>
      </x:c>
    </x:row>
    <x:row r="421">
      <x:c r="A421" s="6" t="n">
        <x:v>46217</x:v>
      </x:c>
      <x:c r="B421" t="str">
        <x:v>Y M Tools Traders</x:v>
      </x:c>
      <x:c r="C421" t="str">
        <x:v>NA/1540/26-27</x:v>
      </x:c>
      <x:c r="D421" s="7" t="n">
        <x:v>13230</x:v>
      </x:c>
      <x:c r="E421" s="6" t="n">
        <x:v>46217</x:v>
      </x:c>
      <x:c r="F421" t="n">
        <x:f>TODAY()-E421</x:f>
        <x:v>18</x:v>
      </x:c>
      <x:c r="G421" s="7" t="n">
        <x:f>SUMIF($B$5:$B$563,B421,$D$5:$D$563)</x:f>
        <x:v>13872</x:v>
      </x:c>
    </x:row>
    <x:row r="422">
      <x:c r="A422" s="6" t="n">
        <x:v>46218</x:v>
      </x:c>
      <x:c r="B422" t="str">
        <x:v>Al Massaar Trading Company</x:v>
      </x:c>
      <x:c r="C422" t="str">
        <x:v>NA/1577/26-27</x:v>
      </x:c>
      <x:c r="D422" s="7" t="n">
        <x:v>1770</x:v>
      </x:c>
      <x:c r="E422" s="6" t="n">
        <x:v>46218</x:v>
      </x:c>
      <x:c r="F422" t="n">
        <x:f>TODAY()-E422</x:f>
        <x:v>17</x:v>
      </x:c>
      <x:c r="G422" s="7" t="n">
        <x:f>SUMIF($B$5:$B$563,B422,$D$5:$D$563)</x:f>
        <x:v>1770</x:v>
      </x:c>
    </x:row>
    <x:row r="423">
      <x:c r="A423" s="6" t="n">
        <x:v>46218</x:v>
      </x:c>
      <x:c r="B423" t="str">
        <x:v>Argo Hytos Pvt.Ltd</x:v>
      </x:c>
      <x:c r="C423" t="str">
        <x:v>NA/1581/26-27</x:v>
      </x:c>
      <x:c r="D423" s="7" t="n">
        <x:v>23914</x:v>
      </x:c>
      <x:c r="E423" s="6" t="n">
        <x:v>46218</x:v>
      </x:c>
      <x:c r="F423" t="n">
        <x:f>TODAY()-E423</x:f>
        <x:v>17</x:v>
      </x:c>
      <x:c r="G423" s="7" t="n">
        <x:f>SUMIF($B$5:$B$563,B423,$D$5:$D$563)</x:f>
        <x:v>52708</x:v>
      </x:c>
    </x:row>
    <x:row r="424">
      <x:c r="A424" s="6" t="n">
        <x:v>46218</x:v>
      </x:c>
      <x:c r="B424" t="str">
        <x:v>Argo Hytos Pvt.Ltd</x:v>
      </x:c>
      <x:c r="C424" t="str">
        <x:v>NA/1582/26-27</x:v>
      </x:c>
      <x:c r="D424" s="7" t="n">
        <x:v>7309</x:v>
      </x:c>
      <x:c r="E424" s="6" t="n">
        <x:v>46218</x:v>
      </x:c>
      <x:c r="F424" t="n">
        <x:f>TODAY()-E424</x:f>
        <x:v>17</x:v>
      </x:c>
      <x:c r="G424" s="7" t="n">
        <x:f>SUMIF($B$5:$B$563,B424,$D$5:$D$563)</x:f>
        <x:v>52708</x:v>
      </x:c>
    </x:row>
    <x:row r="425">
      <x:c r="A425" s="6" t="n">
        <x:v>46218</x:v>
      </x:c>
      <x:c r="B425" t="str">
        <x:v>COMET TOOLS AND HARDWARE STORES</x:v>
      </x:c>
      <x:c r="C425" t="str">
        <x:v>NA/1570/26-27</x:v>
      </x:c>
      <x:c r="D425" s="7" t="n">
        <x:v>1704</x:v>
      </x:c>
      <x:c r="E425" s="6" t="n">
        <x:v>46218</x:v>
      </x:c>
      <x:c r="F425" t="n">
        <x:f>TODAY()-E425</x:f>
        <x:v>17</x:v>
      </x:c>
      <x:c r="G425" s="7" t="n">
        <x:f>SUMIF($B$5:$B$563,B425,$D$5:$D$563)</x:f>
        <x:v>7349</x:v>
      </x:c>
    </x:row>
    <x:row r="426">
      <x:c r="A426" s="6" t="n">
        <x:v>46218</x:v>
      </x:c>
      <x:c r="B426" t="str">
        <x:v>Integrated Pacline India Private Limited</x:v>
      </x:c>
      <x:c r="C426" t="str">
        <x:v>NA/1564/26-27</x:v>
      </x:c>
      <x:c r="D426" s="7" t="n">
        <x:v>44368</x:v>
      </x:c>
      <x:c r="E426" s="6" t="n">
        <x:v>46218</x:v>
      </x:c>
      <x:c r="F426" t="n">
        <x:f>TODAY()-E426</x:f>
        <x:v>17</x:v>
      </x:c>
      <x:c r="G426" s="7" t="n">
        <x:f>SUMIF($B$5:$B$563,B426,$D$5:$D$563)</x:f>
        <x:v>180026</x:v>
      </x:c>
    </x:row>
    <x:row r="427">
      <x:c r="A427" s="6" t="n">
        <x:v>46218</x:v>
      </x:c>
      <x:c r="B427" t="str">
        <x:v>Modern Enterprises</x:v>
      </x:c>
      <x:c r="C427" t="str">
        <x:v>NA/1572/26-27</x:v>
      </x:c>
      <x:c r="D427" s="7" t="n">
        <x:v>5963</x:v>
      </x:c>
      <x:c r="E427" s="6" t="n">
        <x:v>46218</x:v>
      </x:c>
      <x:c r="F427" t="n">
        <x:f>TODAY()-E427</x:f>
        <x:v>17</x:v>
      </x:c>
      <x:c r="G427" s="7" t="n">
        <x:f>SUMIF($B$5:$B$563,B427,$D$5:$D$563)</x:f>
        <x:v>112332</x:v>
      </x:c>
    </x:row>
    <x:row r="428">
      <x:c r="A428" s="6" t="n">
        <x:v>46218</x:v>
      </x:c>
      <x:c r="B428" t="str">
        <x:v>Nandhu Coats</x:v>
      </x:c>
      <x:c r="C428" t="str">
        <x:v>NA/1569/26-27</x:v>
      </x:c>
      <x:c r="D428" s="7" t="n">
        <x:v>41000</x:v>
      </x:c>
      <x:c r="E428" s="6" t="n">
        <x:v>46218</x:v>
      </x:c>
      <x:c r="F428" t="n">
        <x:f>TODAY()-E428</x:f>
        <x:v>17</x:v>
      </x:c>
      <x:c r="G428" s="7" t="n">
        <x:f>SUMIF($B$5:$B$563,B428,$D$5:$D$563)</x:f>
        <x:v>182236</x:v>
      </x:c>
    </x:row>
    <x:row r="429">
      <x:c r="A429" s="6" t="n">
        <x:v>46218</x:v>
      </x:c>
      <x:c r="B429" t="str">
        <x:v>SAMRAT TOOLS CENTRE</x:v>
      </x:c>
      <x:c r="C429" t="str">
        <x:v>NA/1567/26-27</x:v>
      </x:c>
      <x:c r="D429" s="7" t="n">
        <x:v>4740</x:v>
      </x:c>
      <x:c r="E429" s="6" t="n">
        <x:v>46218</x:v>
      </x:c>
      <x:c r="F429" t="n">
        <x:f>TODAY()-E429</x:f>
        <x:v>17</x:v>
      </x:c>
      <x:c r="G429" s="7" t="n">
        <x:f>SUMIF($B$5:$B$563,B429,$D$5:$D$563)</x:f>
        <x:v>11900</x:v>
      </x:c>
    </x:row>
    <x:row r="430">
      <x:c r="A430" s="6" t="n">
        <x:v>46218</x:v>
      </x:c>
      <x:c r="B430" t="str">
        <x:v>SSTG TECHNOLOGIES INDIA PRIVATE LIMITED</x:v>
      </x:c>
      <x:c r="C430" t="str">
        <x:v>NA/1573/26-27</x:v>
      </x:c>
      <x:c r="D430" s="7" t="n">
        <x:v>2090</x:v>
      </x:c>
      <x:c r="E430" s="6" t="n">
        <x:v>46218</x:v>
      </x:c>
      <x:c r="F430" t="n">
        <x:f>TODAY()-E430</x:f>
        <x:v>17</x:v>
      </x:c>
      <x:c r="G430" s="7" t="n">
        <x:f>SUMIF($B$5:$B$563,B430,$D$5:$D$563)</x:f>
        <x:v>109542</x:v>
      </x:c>
    </x:row>
    <x:row r="431">
      <x:c r="A431" s="6" t="n">
        <x:v>46219</x:v>
      </x:c>
      <x:c r="B431" t="str">
        <x:v>Destrezzza art house Pvt Ltd</x:v>
      </x:c>
      <x:c r="C431" t="str">
        <x:v>NA/1600/26-27</x:v>
      </x:c>
      <x:c r="D431" s="7" t="n">
        <x:v>55394</x:v>
      </x:c>
      <x:c r="E431" s="6" t="n">
        <x:v>46219</x:v>
      </x:c>
      <x:c r="F431" t="n">
        <x:f>TODAY()-E431</x:f>
        <x:v>16</x:v>
      </x:c>
      <x:c r="G431" s="7" t="n">
        <x:f>SUMIF($B$5:$B$563,B431,$D$5:$D$563)</x:f>
        <x:v>55394</x:v>
      </x:c>
    </x:row>
    <x:row r="432">
      <x:c r="A432" s="6" t="n">
        <x:v>46219</x:v>
      </x:c>
      <x:c r="B432" t="str">
        <x:v>Evershine Enterprises</x:v>
      </x:c>
      <x:c r="C432" t="str">
        <x:v>NA/1596/26-27</x:v>
      </x:c>
      <x:c r="D432" s="7" t="n">
        <x:v>2410</x:v>
      </x:c>
      <x:c r="E432" s="6" t="n">
        <x:v>46219</x:v>
      </x:c>
      <x:c r="F432" t="n">
        <x:f>TODAY()-E432</x:f>
        <x:v>16</x:v>
      </x:c>
      <x:c r="G432" s="7" t="n">
        <x:f>SUMIF($B$5:$B$563,B432,$D$5:$D$563)</x:f>
        <x:v>53111</x:v>
      </x:c>
    </x:row>
    <x:row r="433">
      <x:c r="A433" s="6" t="n">
        <x:v>46219</x:v>
      </x:c>
      <x:c r="B433" t="str">
        <x:v>IMEC DZIGN ENTERPRISE PRIVATE LIMITED</x:v>
      </x:c>
      <x:c r="C433" t="str">
        <x:v>NA/1593/26-27</x:v>
      </x:c>
      <x:c r="D433" s="7" t="n">
        <x:v>23364</x:v>
      </x:c>
      <x:c r="E433" s="6" t="n">
        <x:v>46219</x:v>
      </x:c>
      <x:c r="F433" t="n">
        <x:f>TODAY()-E433</x:f>
        <x:v>16</x:v>
      </x:c>
      <x:c r="G433" s="7" t="n">
        <x:f>SUMIF($B$5:$B$563,B433,$D$5:$D$563)</x:f>
        <x:v>28320</x:v>
      </x:c>
    </x:row>
    <x:row r="434">
      <x:c r="A434" s="6" t="n">
        <x:v>46219</x:v>
      </x:c>
      <x:c r="B434" t="str">
        <x:v>Lemniscate Associates</x:v>
      </x:c>
      <x:c r="C434" t="str">
        <x:v>NA/1588/26-27</x:v>
      </x:c>
      <x:c r="D434" s="7" t="n">
        <x:v>1757</x:v>
      </x:c>
      <x:c r="E434" s="6" t="n">
        <x:v>46219</x:v>
      </x:c>
      <x:c r="F434" t="n">
        <x:f>TODAY()-E434</x:f>
        <x:v>16</x:v>
      </x:c>
      <x:c r="G434" s="7" t="n">
        <x:f>SUMIF($B$5:$B$563,B434,$D$5:$D$563)</x:f>
        <x:v>8114</x:v>
      </x:c>
    </x:row>
    <x:row r="435">
      <x:c r="A435" s="6" t="n">
        <x:v>46219</x:v>
      </x:c>
      <x:c r="B435" t="str">
        <x:v>SAMRAT TOOLS CENTRE</x:v>
      </x:c>
      <x:c r="C435" t="str">
        <x:v>NA/1587/26-27</x:v>
      </x:c>
      <x:c r="D435" s="7" t="n">
        <x:v>1074</x:v>
      </x:c>
      <x:c r="E435" s="6" t="n">
        <x:v>46219</x:v>
      </x:c>
      <x:c r="F435" t="n">
        <x:f>TODAY()-E435</x:f>
        <x:v>16</x:v>
      </x:c>
      <x:c r="G435" s="7" t="n">
        <x:f>SUMIF($B$5:$B$563,B435,$D$5:$D$563)</x:f>
        <x:v>11900</x:v>
      </x:c>
    </x:row>
    <x:row r="436">
      <x:c r="A436" s="6" t="n">
        <x:v>46219</x:v>
      </x:c>
      <x:c r="B436" t="str">
        <x:v>South Coast Enterprises</x:v>
      </x:c>
      <x:c r="C436" t="str">
        <x:v>NA/1598/26-27</x:v>
      </x:c>
      <x:c r="D436" s="7" t="n">
        <x:v>5573</x:v>
      </x:c>
      <x:c r="E436" s="6" t="n">
        <x:v>46219</x:v>
      </x:c>
      <x:c r="F436" t="n">
        <x:f>TODAY()-E436</x:f>
        <x:v>16</x:v>
      </x:c>
      <x:c r="G436" s="7" t="n">
        <x:f>SUMIF($B$5:$B$563,B436,$D$5:$D$563)</x:f>
        <x:v>14037</x:v>
      </x:c>
    </x:row>
    <x:row r="437">
      <x:c r="A437" s="6" t="n">
        <x:v>46219</x:v>
      </x:c>
      <x:c r="B437" t="str">
        <x:v>Sri Meenakshi Hardware and Tools</x:v>
      </x:c>
      <x:c r="C437" t="str">
        <x:v>NA/1585/26-27</x:v>
      </x:c>
      <x:c r="D437" s="7" t="n">
        <x:v>29000</x:v>
      </x:c>
      <x:c r="E437" s="6" t="n">
        <x:v>46219</x:v>
      </x:c>
      <x:c r="F437" t="n">
        <x:f>TODAY()-E437</x:f>
        <x:v>16</x:v>
      </x:c>
      <x:c r="G437" s="7" t="n">
        <x:f>SUMIF($B$5:$B$563,B437,$D$5:$D$563)</x:f>
        <x:v>158534</x:v>
      </x:c>
    </x:row>
    <x:row r="438">
      <x:c r="A438" s="6" t="n">
        <x:v>46220</x:v>
      </x:c>
      <x:c r="B438" t="str">
        <x:v>Evershine Enterprises</x:v>
      </x:c>
      <x:c r="C438" t="str">
        <x:v>NA/1609/26-27</x:v>
      </x:c>
      <x:c r="D438" s="7" t="n">
        <x:v>882</x:v>
      </x:c>
      <x:c r="E438" s="6" t="n">
        <x:v>46220</x:v>
      </x:c>
      <x:c r="F438" t="n">
        <x:f>TODAY()-E438</x:f>
        <x:v>15</x:v>
      </x:c>
      <x:c r="G438" s="7" t="n">
        <x:f>SUMIF($B$5:$B$563,B438,$D$5:$D$563)</x:f>
        <x:v>53111</x:v>
      </x:c>
    </x:row>
    <x:row r="439">
      <x:c r="A439" s="6" t="n">
        <x:v>46220</x:v>
      </x:c>
      <x:c r="B439" t="str">
        <x:v>Orient Enterprises</x:v>
      </x:c>
      <x:c r="C439" t="str">
        <x:v>NA/1606/26-27</x:v>
      </x:c>
      <x:c r="D439" s="7" t="n">
        <x:v>1760</x:v>
      </x:c>
      <x:c r="E439" s="6" t="n">
        <x:v>46220</x:v>
      </x:c>
      <x:c r="F439" t="n">
        <x:f>TODAY()-E439</x:f>
        <x:v>15</x:v>
      </x:c>
      <x:c r="G439" s="7" t="n">
        <x:f>SUMIF($B$5:$B$563,B439,$D$5:$D$563)</x:f>
        <x:v>1760</x:v>
      </x:c>
    </x:row>
    <x:row r="440">
      <x:c r="A440" s="6" t="n">
        <x:v>46220</x:v>
      </x:c>
      <x:c r="B440" t="str">
        <x:v>PSG COLLEGE OF ARTS AND SCIENCE</x:v>
      </x:c>
      <x:c r="C440" t="str">
        <x:v>NA/1611/26-27</x:v>
      </x:c>
      <x:c r="D440" s="7" t="n">
        <x:v>2250</x:v>
      </x:c>
      <x:c r="E440" s="6" t="n">
        <x:v>46220</x:v>
      </x:c>
      <x:c r="F440" t="n">
        <x:f>TODAY()-E440</x:f>
        <x:v>15</x:v>
      </x:c>
      <x:c r="G440" s="7" t="n">
        <x:f>SUMIF($B$5:$B$563,B440,$D$5:$D$563)</x:f>
        <x:v>2250</x:v>
      </x:c>
    </x:row>
    <x:row r="441">
      <x:c r="A441" s="6" t="n">
        <x:v>46220</x:v>
      </x:c>
      <x:c r="B441" t="str">
        <x:v>PSG INSTITUTE OF MANAGEMENT-GENERAL</x:v>
      </x:c>
      <x:c r="C441" t="str">
        <x:v>NA/1610/26-27</x:v>
      </x:c>
      <x:c r="D441" s="7" t="n">
        <x:v>2545</x:v>
      </x:c>
      <x:c r="E441" s="6" t="n">
        <x:v>46220</x:v>
      </x:c>
      <x:c r="F441" t="n">
        <x:f>TODAY()-E441</x:f>
        <x:v>15</x:v>
      </x:c>
      <x:c r="G441" s="7" t="n">
        <x:f>SUMIF($B$5:$B$563,B441,$D$5:$D$563)</x:f>
        <x:v>2545</x:v>
      </x:c>
    </x:row>
    <x:row r="442">
      <x:c r="A442" s="6" t="n">
        <x:v>46220</x:v>
      </x:c>
      <x:c r="B442" t="str">
        <x:v>SAMRAT TOOLS CENTRE</x:v>
      </x:c>
      <x:c r="C442" t="str">
        <x:v>NA/1608/26-27</x:v>
      </x:c>
      <x:c r="D442" s="7" t="n">
        <x:v>4326</x:v>
      </x:c>
      <x:c r="E442" s="6" t="n">
        <x:v>46220</x:v>
      </x:c>
      <x:c r="F442" t="n">
        <x:f>TODAY()-E442</x:f>
        <x:v>15</x:v>
      </x:c>
      <x:c r="G442" s="7" t="n">
        <x:f>SUMIF($B$5:$B$563,B442,$D$5:$D$563)</x:f>
        <x:v>11900</x:v>
      </x:c>
    </x:row>
    <x:row r="443">
      <x:c r="A443" s="6" t="n">
        <x:v>46221</x:v>
      </x:c>
      <x:c r="B443" t="str">
        <x:v>Al Anwar Industrial Stores</x:v>
      </x:c>
      <x:c r="C443" t="str">
        <x:v>NA/1632/26-27</x:v>
      </x:c>
      <x:c r="D443" s="7" t="n">
        <x:v>650</x:v>
      </x:c>
      <x:c r="E443" s="6" t="n">
        <x:v>46221</x:v>
      </x:c>
      <x:c r="F443" t="n">
        <x:f>TODAY()-E443</x:f>
        <x:v>14</x:v>
      </x:c>
      <x:c r="G443" s="7" t="n">
        <x:f>SUMIF($B$5:$B$563,B443,$D$5:$D$563)</x:f>
        <x:v>26244</x:v>
      </x:c>
    </x:row>
    <x:row r="444">
      <x:c r="A444" s="6" t="n">
        <x:v>46221</x:v>
      </x:c>
      <x:c r="B444" t="str">
        <x:v>Alif Traders</x:v>
      </x:c>
      <x:c r="C444" t="str">
        <x:v>NA/1638/26-27</x:v>
      </x:c>
      <x:c r="D444" s="7" t="n">
        <x:v>795</x:v>
      </x:c>
      <x:c r="E444" s="6" t="n">
        <x:v>46221</x:v>
      </x:c>
      <x:c r="F444" t="n">
        <x:f>TODAY()-E444</x:f>
        <x:v>14</x:v>
      </x:c>
      <x:c r="G444" s="7" t="n">
        <x:f>SUMIF($B$5:$B$563,B444,$D$5:$D$563)</x:f>
        <x:v>119404</x:v>
      </x:c>
    </x:row>
    <x:row r="445">
      <x:c r="A445" s="6" t="n">
        <x:v>46221</x:v>
      </x:c>
      <x:c r="B445" t="str">
        <x:v>AM Machine Tools Centre</x:v>
      </x:c>
      <x:c r="C445" t="str">
        <x:v>NA/1633/26-27</x:v>
      </x:c>
      <x:c r="D445" s="7" t="n">
        <x:v>2788</x:v>
      </x:c>
      <x:c r="E445" s="6" t="n">
        <x:v>46221</x:v>
      </x:c>
      <x:c r="F445" t="n">
        <x:f>TODAY()-E445</x:f>
        <x:v>14</x:v>
      </x:c>
      <x:c r="G445" s="7" t="n">
        <x:f>SUMIF($B$5:$B$563,B445,$D$5:$D$563)</x:f>
        <x:v>17788</x:v>
      </x:c>
    </x:row>
    <x:row r="446">
      <x:c r="A446" s="6" t="n">
        <x:v>46221</x:v>
      </x:c>
      <x:c r="B446" t="str">
        <x:v>Auto Mech Tools</x:v>
      </x:c>
      <x:c r="C446" t="str">
        <x:v>NA/1642/26-27</x:v>
      </x:c>
      <x:c r="D446" s="7" t="n">
        <x:v>11095</x:v>
      </x:c>
      <x:c r="E446" s="6" t="n">
        <x:v>46221</x:v>
      </x:c>
      <x:c r="F446" t="n">
        <x:f>TODAY()-E446</x:f>
        <x:v>14</x:v>
      </x:c>
      <x:c r="G446" s="7" t="n">
        <x:f>SUMIF($B$5:$B$563,B446,$D$5:$D$563)</x:f>
        <x:v>92608</x:v>
      </x:c>
    </x:row>
    <x:row r="447">
      <x:c r="A447" s="6" t="n">
        <x:v>46221</x:v>
      </x:c>
      <x:c r="B447" t="str">
        <x:v>BEST MACHINERY SUPPLIER</x:v>
      </x:c>
      <x:c r="C447" t="str">
        <x:v>NA/1636/26-27</x:v>
      </x:c>
      <x:c r="D447" s="7" t="n">
        <x:v>1910</x:v>
      </x:c>
      <x:c r="E447" s="6" t="n">
        <x:v>46221</x:v>
      </x:c>
      <x:c r="F447" t="n">
        <x:f>TODAY()-E447</x:f>
        <x:v>14</x:v>
      </x:c>
      <x:c r="G447" s="7" t="n">
        <x:f>SUMIF($B$5:$B$563,B447,$D$5:$D$563)</x:f>
        <x:v>66140</x:v>
      </x:c>
    </x:row>
    <x:row r="448">
      <x:c r="A448" s="6" t="n">
        <x:v>46221</x:v>
      </x:c>
      <x:c r="B448" t="str">
        <x:v>BURHANI INDUSTRIAL MART</x:v>
      </x:c>
      <x:c r="C448" t="str">
        <x:v>NA/1634/26-27</x:v>
      </x:c>
      <x:c r="D448" s="7" t="n">
        <x:v>668</x:v>
      </x:c>
      <x:c r="E448" s="6" t="n">
        <x:v>46221</x:v>
      </x:c>
      <x:c r="F448" t="n">
        <x:f>TODAY()-E448</x:f>
        <x:v>14</x:v>
      </x:c>
      <x:c r="G448" s="7" t="n">
        <x:f>SUMIF($B$5:$B$563,B448,$D$5:$D$563)</x:f>
        <x:v>6000</x:v>
      </x:c>
    </x:row>
    <x:row r="449">
      <x:c r="A449" s="6" t="n">
        <x:v>46221</x:v>
      </x:c>
      <x:c r="B449" t="str">
        <x:v>Burhani Traders</x:v>
      </x:c>
      <x:c r="C449" t="str">
        <x:v>NA/1635/26-27</x:v>
      </x:c>
      <x:c r="D449" s="7" t="n">
        <x:v>1804</x:v>
      </x:c>
      <x:c r="E449" s="6" t="n">
        <x:v>46221</x:v>
      </x:c>
      <x:c r="F449" t="n">
        <x:f>TODAY()-E449</x:f>
        <x:v>14</x:v>
      </x:c>
      <x:c r="G449" s="7" t="n">
        <x:f>SUMIF($B$5:$B$563,B449,$D$5:$D$563)</x:f>
        <x:v>238111</x:v>
      </x:c>
    </x:row>
    <x:row r="450">
      <x:c r="A450" s="6" t="n">
        <x:v>46221</x:v>
      </x:c>
      <x:c r="B450" t="str">
        <x:v>Fairdeal Industrial Suppliers</x:v>
      </x:c>
      <x:c r="C450" t="str">
        <x:v>NA/1647/26-27</x:v>
      </x:c>
      <x:c r="D450" s="7" t="n">
        <x:v>500</x:v>
      </x:c>
      <x:c r="E450" s="6" t="n">
        <x:v>46221</x:v>
      </x:c>
      <x:c r="F450" t="n">
        <x:f>TODAY()-E450</x:f>
        <x:v>14</x:v>
      </x:c>
      <x:c r="G450" s="7" t="n">
        <x:f>SUMIF($B$5:$B$563,B450,$D$5:$D$563)</x:f>
        <x:v>30500</x:v>
      </x:c>
    </x:row>
    <x:row r="451">
      <x:c r="A451" s="6" t="n">
        <x:v>46221</x:v>
      </x:c>
      <x:c r="B451" t="str">
        <x:v>GEM TRADING CORPORATION</x:v>
      </x:c>
      <x:c r="C451" t="str">
        <x:v>NA/1650/26-27</x:v>
      </x:c>
      <x:c r="D451" s="7" t="n">
        <x:v>360</x:v>
      </x:c>
      <x:c r="E451" s="6" t="n">
        <x:v>46221</x:v>
      </x:c>
      <x:c r="F451" t="n">
        <x:f>TODAY()-E451</x:f>
        <x:v>14</x:v>
      </x:c>
      <x:c r="G451" s="7" t="n">
        <x:f>SUMIF($B$5:$B$563,B451,$D$5:$D$563)</x:f>
        <x:v>360</x:v>
      </x:c>
    </x:row>
    <x:row r="452">
      <x:c r="A452" s="6" t="n">
        <x:v>46221</x:v>
      </x:c>
      <x:c r="B452" t="str">
        <x:v>General Industrial Suppliers</x:v>
      </x:c>
      <x:c r="C452" t="str">
        <x:v>NA/1641/26-27</x:v>
      </x:c>
      <x:c r="D452" s="7" t="n">
        <x:v>13120</x:v>
      </x:c>
      <x:c r="E452" s="6" t="n">
        <x:v>46221</x:v>
      </x:c>
      <x:c r="F452" t="n">
        <x:f>TODAY()-E452</x:f>
        <x:v>14</x:v>
      </x:c>
      <x:c r="G452" s="7" t="n">
        <x:f>SUMIF($B$5:$B$563,B452,$D$5:$D$563)</x:f>
        <x:v>145391</x:v>
      </x:c>
    </x:row>
    <x:row r="453">
      <x:c r="A453" s="6" t="n">
        <x:v>46221</x:v>
      </x:c>
      <x:c r="B453" t="str">
        <x:v>GIS Engineering Co</x:v>
      </x:c>
      <x:c r="C453" t="str">
        <x:v>NA/1637/26-27</x:v>
      </x:c>
      <x:c r="D453" s="7" t="n">
        <x:v>1800</x:v>
      </x:c>
      <x:c r="E453" s="6" t="n">
        <x:v>46221</x:v>
      </x:c>
      <x:c r="F453" t="n">
        <x:f>TODAY()-E453</x:f>
        <x:v>14</x:v>
      </x:c>
      <x:c r="G453" s="7" t="n">
        <x:f>SUMIF($B$5:$B$563,B453,$D$5:$D$563)</x:f>
        <x:v>67304</x:v>
      </x:c>
    </x:row>
    <x:row r="454">
      <x:c r="A454" s="6" t="n">
        <x:v>46221</x:v>
      </x:c>
      <x:c r="B454" t="str">
        <x:v>Integrated Pacline India Private Limited</x:v>
      </x:c>
      <x:c r="C454" t="str">
        <x:v>NA/1627/26-27</x:v>
      </x:c>
      <x:c r="D454" s="7" t="n">
        <x:v>8614</x:v>
      </x:c>
      <x:c r="E454" s="6" t="n">
        <x:v>46221</x:v>
      </x:c>
      <x:c r="F454" t="n">
        <x:f>TODAY()-E454</x:f>
        <x:v>14</x:v>
      </x:c>
      <x:c r="G454" s="7" t="n">
        <x:f>SUMIF($B$5:$B$563,B454,$D$5:$D$563)</x:f>
        <x:v>180026</x:v>
      </x:c>
    </x:row>
    <x:row r="455">
      <x:c r="A455" s="6" t="n">
        <x:v>46221</x:v>
      </x:c>
      <x:c r="B455" t="str">
        <x:v>Rajkumar &amp; Co</x:v>
      </x:c>
      <x:c r="C455" t="str">
        <x:v>NA/1629/26-27</x:v>
      </x:c>
      <x:c r="D455" s="7" t="n">
        <x:v>3300</x:v>
      </x:c>
      <x:c r="E455" s="6" t="n">
        <x:v>46221</x:v>
      </x:c>
      <x:c r="F455" t="n">
        <x:f>TODAY()-E455</x:f>
        <x:v>14</x:v>
      </x:c>
      <x:c r="G455" s="7" t="n">
        <x:f>SUMIF($B$5:$B$563,B455,$D$5:$D$563)</x:f>
        <x:v>3300</x:v>
      </x:c>
    </x:row>
    <x:row r="456">
      <x:c r="A456" s="6" t="n">
        <x:v>46221</x:v>
      </x:c>
      <x:c r="B456" t="str">
        <x:v>S to Z Traders</x:v>
      </x:c>
      <x:c r="C456" t="str">
        <x:v>NA/1631/26-27</x:v>
      </x:c>
      <x:c r="D456" s="7" t="n">
        <x:v>6160</x:v>
      </x:c>
      <x:c r="E456" s="6" t="n">
        <x:v>46221</x:v>
      </x:c>
      <x:c r="F456" t="n">
        <x:f>TODAY()-E456</x:f>
        <x:v>14</x:v>
      </x:c>
      <x:c r="G456" s="7" t="n">
        <x:f>SUMIF($B$5:$B$563,B456,$D$5:$D$563)</x:f>
        <x:v>77473</x:v>
      </x:c>
    </x:row>
    <x:row r="457">
      <x:c r="A457" s="6" t="n">
        <x:v>46221</x:v>
      </x:c>
      <x:c r="B457" t="str">
        <x:v>South Coast Enterprises</x:v>
      </x:c>
      <x:c r="C457" t="str">
        <x:v>NA/1640/26-27</x:v>
      </x:c>
      <x:c r="D457" s="7" t="n">
        <x:v>1500</x:v>
      </x:c>
      <x:c r="E457" s="6" t="n">
        <x:v>46221</x:v>
      </x:c>
      <x:c r="F457" t="n">
        <x:f>TODAY()-E457</x:f>
        <x:v>14</x:v>
      </x:c>
      <x:c r="G457" s="7" t="n">
        <x:f>SUMIF($B$5:$B$563,B457,$D$5:$D$563)</x:f>
        <x:v>14037</x:v>
      </x:c>
    </x:row>
    <x:row r="458">
      <x:c r="A458" s="6" t="n">
        <x:v>46223</x:v>
      </x:c>
      <x:c r="B458" t="str">
        <x:v>Apex Coco and Solar Energy PVT LTD</x:v>
      </x:c>
      <x:c r="C458" t="str">
        <x:v>NA/1674/26-27</x:v>
      </x:c>
      <x:c r="D458" s="7" t="n">
        <x:v>5100</x:v>
      </x:c>
      <x:c r="E458" s="6" t="n">
        <x:v>46223</x:v>
      </x:c>
      <x:c r="F458" t="n">
        <x:f>TODAY()-E458</x:f>
        <x:v>12</x:v>
      </x:c>
      <x:c r="G458" s="7" t="n">
        <x:f>SUMIF($B$5:$B$563,B458,$D$5:$D$563)</x:f>
        <x:v>51533</x:v>
      </x:c>
    </x:row>
    <x:row r="459">
      <x:c r="A459" s="6" t="n">
        <x:v>46223</x:v>
      </x:c>
      <x:c r="B459" t="str">
        <x:v>Aqiq Enterprises</x:v>
      </x:c>
      <x:c r="C459" t="str">
        <x:v>NA/1663/26-27</x:v>
      </x:c>
      <x:c r="D459" s="7" t="n">
        <x:v>780</x:v>
      </x:c>
      <x:c r="E459" s="6" t="n">
        <x:v>46223</x:v>
      </x:c>
      <x:c r="F459" t="n">
        <x:f>TODAY()-E459</x:f>
        <x:v>12</x:v>
      </x:c>
      <x:c r="G459" s="7" t="n">
        <x:f>SUMIF($B$5:$B$563,B459,$D$5:$D$563)</x:f>
        <x:v>10155</x:v>
      </x:c>
    </x:row>
    <x:row r="460">
      <x:c r="A460" s="6" t="n">
        <x:v>46223</x:v>
      </x:c>
      <x:c r="B460" t="str">
        <x:v>Argo Hytos Pvt.Ltd</x:v>
      </x:c>
      <x:c r="C460" t="str">
        <x:v>NA/1673/26-27</x:v>
      </x:c>
      <x:c r="D460" s="7" t="n">
        <x:v>2236</x:v>
      </x:c>
      <x:c r="E460" s="6" t="n">
        <x:v>46223</x:v>
      </x:c>
      <x:c r="F460" t="n">
        <x:f>TODAY()-E460</x:f>
        <x:v>12</x:v>
      </x:c>
      <x:c r="G460" s="7" t="n">
        <x:f>SUMIF($B$5:$B$563,B460,$D$5:$D$563)</x:f>
        <x:v>52708</x:v>
      </x:c>
    </x:row>
    <x:row r="461">
      <x:c r="A461" s="6" t="n">
        <x:v>46223</x:v>
      </x:c>
      <x:c r="B461" t="str">
        <x:v>Arun Laser Ovens PVT LTD</x:v>
      </x:c>
      <x:c r="C461" t="str">
        <x:v>NA/1665/26-27</x:v>
      </x:c>
      <x:c r="D461" s="7" t="n">
        <x:v>354</x:v>
      </x:c>
      <x:c r="E461" s="6" t="n">
        <x:v>46223</x:v>
      </x:c>
      <x:c r="F461" t="n">
        <x:f>TODAY()-E461</x:f>
        <x:v>12</x:v>
      </x:c>
      <x:c r="G461" s="7" t="n">
        <x:f>SUMIF($B$5:$B$563,B461,$D$5:$D$563)</x:f>
        <x:v>706</x:v>
      </x:c>
    </x:row>
    <x:row r="462">
      <x:c r="A462" s="6" t="n">
        <x:v>46223</x:v>
      </x:c>
      <x:c r="B462" t="str">
        <x:v>IMEC DZIGN ENTERPRISE PRIVATE LIMITED</x:v>
      </x:c>
      <x:c r="C462" t="str">
        <x:v>NA/1666/26-27</x:v>
      </x:c>
      <x:c r="D462" s="7" t="n">
        <x:v>4956</x:v>
      </x:c>
      <x:c r="E462" s="6" t="n">
        <x:v>46223</x:v>
      </x:c>
      <x:c r="F462" t="n">
        <x:f>TODAY()-E462</x:f>
        <x:v>12</x:v>
      </x:c>
      <x:c r="G462" s="7" t="n">
        <x:f>SUMIF($B$5:$B$563,B462,$D$5:$D$563)</x:f>
        <x:v>28320</x:v>
      </x:c>
    </x:row>
    <x:row r="463">
      <x:c r="A463" s="6" t="n">
        <x:v>46223</x:v>
      </x:c>
      <x:c r="B463" t="str">
        <x:v>SSTG TECHNOLOGIES INDIA PRIVATE LIMITED</x:v>
      </x:c>
      <x:c r="C463" t="str">
        <x:v>NA/1659/26-27</x:v>
      </x:c>
      <x:c r="D463" s="7" t="n">
        <x:v>4000</x:v>
      </x:c>
      <x:c r="E463" s="6" t="n">
        <x:v>46223</x:v>
      </x:c>
      <x:c r="F463" t="n">
        <x:f>TODAY()-E463</x:f>
        <x:v>12</x:v>
      </x:c>
      <x:c r="G463" s="7" t="n">
        <x:f>SUMIF($B$5:$B$563,B463,$D$5:$D$563)</x:f>
        <x:v>109542</x:v>
      </x:c>
    </x:row>
    <x:row r="464">
      <x:c r="A464" s="6" t="n">
        <x:v>46223</x:v>
      </x:c>
      <x:c r="B464" t="str">
        <x:v>TAHERI TOOLS AND MACHINERY STORES</x:v>
      </x:c>
      <x:c r="C464" t="str">
        <x:v>NA/1678/26-27</x:v>
      </x:c>
      <x:c r="D464" s="7" t="n">
        <x:v>4650</x:v>
      </x:c>
      <x:c r="E464" s="6" t="n">
        <x:v>46223</x:v>
      </x:c>
      <x:c r="F464" t="n">
        <x:f>TODAY()-E464</x:f>
        <x:v>12</x:v>
      </x:c>
      <x:c r="G464" s="7" t="n">
        <x:f>SUMIF($B$5:$B$563,B464,$D$5:$D$563)</x:f>
        <x:v>4650</x:v>
      </x:c>
    </x:row>
    <x:row r="465">
      <x:c r="A465" s="6" t="n">
        <x:v>46223</x:v>
      </x:c>
      <x:c r="B465" t="str">
        <x:v>TRUE VALUE SHOES AND SAFETY</x:v>
      </x:c>
      <x:c r="C465" t="str">
        <x:v>NA/1661/26-27</x:v>
      </x:c>
      <x:c r="D465" s="7" t="n">
        <x:v>4200</x:v>
      </x:c>
      <x:c r="E465" s="6" t="n">
        <x:v>46223</x:v>
      </x:c>
      <x:c r="F465" t="n">
        <x:f>TODAY()-E465</x:f>
        <x:v>12</x:v>
      </x:c>
      <x:c r="G465" s="7" t="n">
        <x:f>SUMIF($B$5:$B$563,B465,$D$5:$D$563)</x:f>
        <x:v>68445</x:v>
      </x:c>
    </x:row>
    <x:row r="466">
      <x:c r="A466" s="6" t="n">
        <x:v>46223</x:v>
      </x:c>
      <x:c r="B466" t="str">
        <x:v>V Guard Industries Ltd (EMW)</x:v>
      </x:c>
      <x:c r="C466" t="str">
        <x:v>NA/1672/26-27</x:v>
      </x:c>
      <x:c r="D466" s="7" t="n">
        <x:v>1626</x:v>
      </x:c>
      <x:c r="E466" s="6" t="n">
        <x:v>46223</x:v>
      </x:c>
      <x:c r="F466" t="n">
        <x:f>TODAY()-E466</x:f>
        <x:v>12</x:v>
      </x:c>
      <x:c r="G466" s="7" t="n">
        <x:f>SUMIF($B$5:$B$563,B466,$D$5:$D$563)</x:f>
        <x:v>70377</x:v>
      </x:c>
    </x:row>
    <x:row r="467">
      <x:c r="A467" s="6" t="n">
        <x:v>46224</x:v>
      </x:c>
      <x:c r="B467" t="str">
        <x:v>Apex Coco and Solar Energy PVT LTD</x:v>
      </x:c>
      <x:c r="C467" t="str">
        <x:v>NA/1683/26-27</x:v>
      </x:c>
      <x:c r="D467" s="7" t="n">
        <x:v>8496</x:v>
      </x:c>
      <x:c r="E467" s="6" t="n">
        <x:v>46224</x:v>
      </x:c>
      <x:c r="F467" t="n">
        <x:f>TODAY()-E467</x:f>
        <x:v>11</x:v>
      </x:c>
      <x:c r="G467" s="7" t="n">
        <x:f>SUMIF($B$5:$B$563,B467,$D$5:$D$563)</x:f>
        <x:v>51533</x:v>
      </x:c>
    </x:row>
    <x:row r="468">
      <x:c r="A468" s="6" t="n">
        <x:v>46224</x:v>
      </x:c>
      <x:c r="B468" t="str">
        <x:v>COMET TOOLS AND HARDWARE STORES</x:v>
      </x:c>
      <x:c r="C468" t="str">
        <x:v>NA/1698/26-27</x:v>
      </x:c>
      <x:c r="D468" s="7" t="n">
        <x:v>1125</x:v>
      </x:c>
      <x:c r="E468" s="6" t="n">
        <x:v>46224</x:v>
      </x:c>
      <x:c r="F468" t="n">
        <x:f>TODAY()-E468</x:f>
        <x:v>11</x:v>
      </x:c>
      <x:c r="G468" s="7" t="n">
        <x:f>SUMIF($B$5:$B$563,B468,$D$5:$D$563)</x:f>
        <x:v>7349</x:v>
      </x:c>
    </x:row>
    <x:row r="469">
      <x:c r="A469" s="6" t="n">
        <x:v>46224</x:v>
      </x:c>
      <x:c r="B469" t="str">
        <x:v>Evershine Enterprises</x:v>
      </x:c>
      <x:c r="C469" t="str">
        <x:v>NA/1695/26-27</x:v>
      </x:c>
      <x:c r="D469" s="7" t="n">
        <x:v>4744</x:v>
      </x:c>
      <x:c r="E469" s="6" t="n">
        <x:v>46224</x:v>
      </x:c>
      <x:c r="F469" t="n">
        <x:f>TODAY()-E469</x:f>
        <x:v>11</x:v>
      </x:c>
      <x:c r="G469" s="7" t="n">
        <x:f>SUMIF($B$5:$B$563,B469,$D$5:$D$563)</x:f>
        <x:v>53111</x:v>
      </x:c>
    </x:row>
    <x:row r="470">
      <x:c r="A470" s="6" t="n">
        <x:v>46224</x:v>
      </x:c>
      <x:c r="B470" t="str">
        <x:v>HINDUSTAN AUTOMATIONS</x:v>
      </x:c>
      <x:c r="C470" t="str">
        <x:v>NA/1693/26-27</x:v>
      </x:c>
      <x:c r="D470" s="7" t="n">
        <x:v>14270</x:v>
      </x:c>
      <x:c r="E470" s="6" t="n">
        <x:v>46224</x:v>
      </x:c>
      <x:c r="F470" t="n">
        <x:f>TODAY()-E470</x:f>
        <x:v>11</x:v>
      </x:c>
      <x:c r="G470" s="7" t="n">
        <x:f>SUMIF($B$5:$B$563,B470,$D$5:$D$563)</x:f>
        <x:v>22266</x:v>
      </x:c>
    </x:row>
    <x:row r="471">
      <x:c r="A471" s="6" t="n">
        <x:v>46224</x:v>
      </x:c>
      <x:c r="B471" t="str">
        <x:v>Modern Enterprises</x:v>
      </x:c>
      <x:c r="C471" t="str">
        <x:v>NA/1691/26-27</x:v>
      </x:c>
      <x:c r="D471" s="7" t="n">
        <x:v>2009</x:v>
      </x:c>
      <x:c r="E471" s="6" t="n">
        <x:v>46224</x:v>
      </x:c>
      <x:c r="F471" t="n">
        <x:f>TODAY()-E471</x:f>
        <x:v>11</x:v>
      </x:c>
      <x:c r="G471" s="7" t="n">
        <x:f>SUMIF($B$5:$B$563,B471,$D$5:$D$563)</x:f>
        <x:v>112332</x:v>
      </x:c>
    </x:row>
    <x:row r="472">
      <x:c r="A472" s="6" t="n">
        <x:v>46224</x:v>
      </x:c>
      <x:c r="B472" t="str">
        <x:v>Safeboy Safety Solutions</x:v>
      </x:c>
      <x:c r="C472" t="str">
        <x:v>NA/1685/26-27</x:v>
      </x:c>
      <x:c r="D472" s="7" t="n">
        <x:v>3940</x:v>
      </x:c>
      <x:c r="E472" s="6" t="n">
        <x:v>46224</x:v>
      </x:c>
      <x:c r="F472" t="n">
        <x:f>TODAY()-E472</x:f>
        <x:v>11</x:v>
      </x:c>
      <x:c r="G472" s="7" t="n">
        <x:f>SUMIF($B$5:$B$563,B472,$D$5:$D$563)</x:f>
        <x:v>22276</x:v>
      </x:c>
    </x:row>
    <x:row r="473">
      <x:c r="A473" s="6" t="n">
        <x:v>46224</x:v>
      </x:c>
      <x:c r="B473" t="str">
        <x:v>TRUE VALUE SHOES AND SAFETY</x:v>
      </x:c>
      <x:c r="C473" t="str">
        <x:v>NA/1690/26-27</x:v>
      </x:c>
      <x:c r="D473" s="7" t="n">
        <x:v>2100</x:v>
      </x:c>
      <x:c r="E473" s="6" t="n">
        <x:v>46224</x:v>
      </x:c>
      <x:c r="F473" t="n">
        <x:f>TODAY()-E473</x:f>
        <x:v>11</x:v>
      </x:c>
      <x:c r="G473" s="7" t="n">
        <x:f>SUMIF($B$5:$B$563,B473,$D$5:$D$563)</x:f>
        <x:v>68445</x:v>
      </x:c>
    </x:row>
    <x:row r="474">
      <x:c r="A474" s="6" t="n">
        <x:v>46225</x:v>
      </x:c>
      <x:c r="B474" t="str">
        <x:v>Amogha Polymers India Pvt Ltd</x:v>
      </x:c>
      <x:c r="C474" t="str">
        <x:v>NA/1716/26-27</x:v>
      </x:c>
      <x:c r="D474" s="7" t="n">
        <x:v>3453</x:v>
      </x:c>
      <x:c r="E474" s="6" t="n">
        <x:v>46225</x:v>
      </x:c>
      <x:c r="F474" t="n">
        <x:f>TODAY()-E474</x:f>
        <x:v>10</x:v>
      </x:c>
      <x:c r="G474" s="7" t="n">
        <x:f>SUMIF($B$5:$B$563,B474,$D$5:$D$563)</x:f>
        <x:v>12267</x:v>
      </x:c>
    </x:row>
    <x:row r="475">
      <x:c r="A475" s="6" t="n">
        <x:v>46225</x:v>
      </x:c>
      <x:c r="B475" t="str">
        <x:v>Argo Hytos Pvt.Ltd</x:v>
      </x:c>
      <x:c r="C475" t="str">
        <x:v>NA/1715/26-27</x:v>
      </x:c>
      <x:c r="D475" s="7" t="n">
        <x:v>4219</x:v>
      </x:c>
      <x:c r="E475" s="6" t="n">
        <x:v>46225</x:v>
      </x:c>
      <x:c r="F475" t="n">
        <x:f>TODAY()-E475</x:f>
        <x:v>10</x:v>
      </x:c>
      <x:c r="G475" s="7" t="n">
        <x:f>SUMIF($B$5:$B$563,B475,$D$5:$D$563)</x:f>
        <x:v>52708</x:v>
      </x:c>
    </x:row>
    <x:row r="476">
      <x:c r="A476" s="6" t="n">
        <x:v>46225</x:v>
      </x:c>
      <x:c r="B476" t="str">
        <x:v>Integrated Pacline India Private Limited</x:v>
      </x:c>
      <x:c r="C476" t="str">
        <x:v>NA/1702/26-27</x:v>
      </x:c>
      <x:c r="D476" s="7" t="n">
        <x:v>945</x:v>
      </x:c>
      <x:c r="E476" s="6" t="n">
        <x:v>46225</x:v>
      </x:c>
      <x:c r="F476" t="n">
        <x:f>TODAY()-E476</x:f>
        <x:v>10</x:v>
      </x:c>
      <x:c r="G476" s="7" t="n">
        <x:f>SUMIF($B$5:$B$563,B476,$D$5:$D$563)</x:f>
        <x:v>180026</x:v>
      </x:c>
    </x:row>
    <x:row r="477">
      <x:c r="A477" s="6" t="n">
        <x:v>46225</x:v>
      </x:c>
      <x:c r="B477" t="str">
        <x:v>SHANTHI ELECTRICALS AND HARDWARES</x:v>
      </x:c>
      <x:c r="C477" t="str">
        <x:v>NA/1704/26-27</x:v>
      </x:c>
      <x:c r="D477" s="7" t="n">
        <x:v>2290</x:v>
      </x:c>
      <x:c r="E477" s="6" t="n">
        <x:v>46225</x:v>
      </x:c>
      <x:c r="F477" t="n">
        <x:f>TODAY()-E477</x:f>
        <x:v>10</x:v>
      </x:c>
      <x:c r="G477" s="7" t="n">
        <x:f>SUMIF($B$5:$B$563,B477,$D$5:$D$563)</x:f>
        <x:v>8878</x:v>
      </x:c>
    </x:row>
    <x:row r="478">
      <x:c r="A478" s="6" t="n">
        <x:v>46225</x:v>
      </x:c>
      <x:c r="B478" t="str">
        <x:v>TOOLCOM INNOVATIVE SOLUTIONS PRIVATE LIMITED</x:v>
      </x:c>
      <x:c r="C478" t="str">
        <x:v>NA/1714/26-27</x:v>
      </x:c>
      <x:c r="D478" s="7" t="n">
        <x:v>968</x:v>
      </x:c>
      <x:c r="E478" s="6" t="n">
        <x:v>46225</x:v>
      </x:c>
      <x:c r="F478" t="n">
        <x:f>TODAY()-E478</x:f>
        <x:v>10</x:v>
      </x:c>
      <x:c r="G478" s="7" t="n">
        <x:f>SUMIF($B$5:$B$563,B478,$D$5:$D$563)</x:f>
        <x:v>19046</x:v>
      </x:c>
    </x:row>
    <x:row r="479">
      <x:c r="A479" s="6" t="n">
        <x:v>46225</x:v>
      </x:c>
      <x:c r="B479" t="str">
        <x:v>V Guard Industries Ltd (EMW)</x:v>
      </x:c>
      <x:c r="C479" t="str">
        <x:v>NA/1705/26-27</x:v>
      </x:c>
      <x:c r="D479" s="7" t="n">
        <x:v>5300</x:v>
      </x:c>
      <x:c r="E479" s="6" t="n">
        <x:v>46225</x:v>
      </x:c>
      <x:c r="F479" t="n">
        <x:f>TODAY()-E479</x:f>
        <x:v>10</x:v>
      </x:c>
      <x:c r="G479" s="7" t="n">
        <x:f>SUMIF($B$5:$B$563,B479,$D$5:$D$563)</x:f>
        <x:v>70377</x:v>
      </x:c>
    </x:row>
    <x:row r="480">
      <x:c r="A480" s="6" t="n">
        <x:v>46226</x:v>
      </x:c>
      <x:c r="B480" t="str">
        <x:v>Argo Hytos Pvt.Ltd</x:v>
      </x:c>
      <x:c r="C480" t="str">
        <x:v>NA/1718/26-27</x:v>
      </x:c>
      <x:c r="D480" s="7" t="n">
        <x:v>6390</x:v>
      </x:c>
      <x:c r="E480" s="6" t="n">
        <x:v>46226</x:v>
      </x:c>
      <x:c r="F480" t="n">
        <x:f>TODAY()-E480</x:f>
        <x:v>9</x:v>
      </x:c>
      <x:c r="G480" s="7" t="n">
        <x:f>SUMIF($B$5:$B$563,B480,$D$5:$D$563)</x:f>
        <x:v>52708</x:v>
      </x:c>
    </x:row>
    <x:row r="481">
      <x:c r="A481" s="6" t="n">
        <x:v>46226</x:v>
      </x:c>
      <x:c r="B481" t="str">
        <x:v>Arun Laser Ovens PVT LTD</x:v>
      </x:c>
      <x:c r="C481" t="str">
        <x:v>NA/1728/26-27</x:v>
      </x:c>
      <x:c r="D481" s="7" t="n">
        <x:v>116</x:v>
      </x:c>
      <x:c r="E481" s="6" t="n">
        <x:v>46226</x:v>
      </x:c>
      <x:c r="F481" t="n">
        <x:f>TODAY()-E481</x:f>
        <x:v>9</x:v>
      </x:c>
      <x:c r="G481" s="7" t="n">
        <x:f>SUMIF($B$5:$B$563,B481,$D$5:$D$563)</x:f>
        <x:v>706</x:v>
      </x:c>
    </x:row>
    <x:row r="482">
      <x:c r="A482" s="6" t="n">
        <x:v>46226</x:v>
      </x:c>
      <x:c r="B482" t="str">
        <x:v>General Industrial Suppliers</x:v>
      </x:c>
      <x:c r="C482" t="str">
        <x:v>NA/1733/26-27</x:v>
      </x:c>
      <x:c r="D482" s="7" t="n">
        <x:v>3000</x:v>
      </x:c>
      <x:c r="E482" s="6" t="n">
        <x:v>46226</x:v>
      </x:c>
      <x:c r="F482" t="n">
        <x:f>TODAY()-E482</x:f>
        <x:v>9</x:v>
      </x:c>
      <x:c r="G482" s="7" t="n">
        <x:f>SUMIF($B$5:$B$563,B482,$D$5:$D$563)</x:f>
        <x:v>145391</x:v>
      </x:c>
    </x:row>
    <x:row r="483">
      <x:c r="A483" s="6" t="n">
        <x:v>46226</x:v>
      </x:c>
      <x:c r="B483" t="str">
        <x:v>Integrated Pacline India Private Limited</x:v>
      </x:c>
      <x:c r="C483" t="str">
        <x:v>NA/1721/26-27</x:v>
      </x:c>
      <x:c r="D483" s="7" t="n">
        <x:v>7788</x:v>
      </x:c>
      <x:c r="E483" s="6" t="n">
        <x:v>46226</x:v>
      </x:c>
      <x:c r="F483" t="n">
        <x:f>TODAY()-E483</x:f>
        <x:v>9</x:v>
      </x:c>
      <x:c r="G483" s="7" t="n">
        <x:f>SUMIF($B$5:$B$563,B483,$D$5:$D$563)</x:f>
        <x:v>180026</x:v>
      </x:c>
    </x:row>
    <x:row r="484">
      <x:c r="A484" s="6" t="n">
        <x:v>46226</x:v>
      </x:c>
      <x:c r="B484" t="str">
        <x:v>Safeboy Safety Solutions</x:v>
      </x:c>
      <x:c r="C484" t="str">
        <x:v>NA/1717/26-27</x:v>
      </x:c>
      <x:c r="D484" s="7" t="n">
        <x:v>1196</x:v>
      </x:c>
      <x:c r="E484" s="6" t="n">
        <x:v>46226</x:v>
      </x:c>
      <x:c r="F484" t="n">
        <x:f>TODAY()-E484</x:f>
        <x:v>9</x:v>
      </x:c>
      <x:c r="G484" s="7" t="n">
        <x:f>SUMIF($B$5:$B$563,B484,$D$5:$D$563)</x:f>
        <x:v>22276</x:v>
      </x:c>
    </x:row>
    <x:row r="485">
      <x:c r="A485" s="6" t="n">
        <x:v>46226</x:v>
      </x:c>
      <x:c r="B485" t="str">
        <x:v>Triumph Trading Company</x:v>
      </x:c>
      <x:c r="C485" t="str">
        <x:v>NA/1722/26-27</x:v>
      </x:c>
      <x:c r="D485" s="7" t="n">
        <x:v>1008</x:v>
      </x:c>
      <x:c r="E485" s="6" t="n">
        <x:v>46226</x:v>
      </x:c>
      <x:c r="F485" t="n">
        <x:f>TODAY()-E485</x:f>
        <x:v>9</x:v>
      </x:c>
      <x:c r="G485" s="7" t="n">
        <x:f>SUMIF($B$5:$B$563,B485,$D$5:$D$563)</x:f>
        <x:v>29138</x:v>
      </x:c>
    </x:row>
    <x:row r="486">
      <x:c r="A486" s="6" t="n">
        <x:v>46227</x:v>
      </x:c>
      <x:c r="B486" t="str">
        <x:v>Apex Coco and Solar Energy PVT LTD</x:v>
      </x:c>
      <x:c r="C486" t="str">
        <x:v>NA/1756/26-27</x:v>
      </x:c>
      <x:c r="D486" s="7" t="n">
        <x:v>37937</x:v>
      </x:c>
      <x:c r="E486" s="6" t="n">
        <x:v>46227</x:v>
      </x:c>
      <x:c r="F486" t="n">
        <x:f>TODAY()-E486</x:f>
        <x:v>8</x:v>
      </x:c>
      <x:c r="G486" s="7" t="n">
        <x:f>SUMIF($B$5:$B$563,B486,$D$5:$D$563)</x:f>
        <x:v>51533</x:v>
      </x:c>
    </x:row>
    <x:row r="487">
      <x:c r="A487" s="6" t="n">
        <x:v>46227</x:v>
      </x:c>
      <x:c r="B487" t="str">
        <x:v>Arun Laser Ovens PVT LTD</x:v>
      </x:c>
      <x:c r="C487" t="str">
        <x:v>NA/1748/26-27</x:v>
      </x:c>
      <x:c r="D487" s="7" t="n">
        <x:v>236</x:v>
      </x:c>
      <x:c r="E487" s="6" t="n">
        <x:v>46227</x:v>
      </x:c>
      <x:c r="F487" t="n">
        <x:f>TODAY()-E487</x:f>
        <x:v>8</x:v>
      </x:c>
      <x:c r="G487" s="7" t="n">
        <x:f>SUMIF($B$5:$B$563,B487,$D$5:$D$563)</x:f>
        <x:v>706</x:v>
      </x:c>
    </x:row>
    <x:row r="488">
      <x:c r="A488" s="6" t="n">
        <x:v>46227</x:v>
      </x:c>
      <x:c r="B488" t="str">
        <x:v>Coptech Wire &amp; Cable Private Limited W</x:v>
      </x:c>
      <x:c r="C488" t="str">
        <x:v>NA/1747/26-27</x:v>
      </x:c>
      <x:c r="D488" s="7" t="n">
        <x:v>124</x:v>
      </x:c>
      <x:c r="E488" s="6" t="n">
        <x:v>46227</x:v>
      </x:c>
      <x:c r="F488" t="n">
        <x:f>TODAY()-E488</x:f>
        <x:v>8</x:v>
      </x:c>
      <x:c r="G488" s="7" t="n">
        <x:f>SUMIF($B$5:$B$563,B488,$D$5:$D$563)</x:f>
        <x:v>8298</x:v>
      </x:c>
    </x:row>
    <x:row r="489">
      <x:c r="A489" s="6" t="n">
        <x:v>46227</x:v>
      </x:c>
      <x:c r="B489" t="str">
        <x:v>PRITAM SAI ASSOCIATE</x:v>
      </x:c>
      <x:c r="C489" t="str">
        <x:v>NA/1754/26-27</x:v>
      </x:c>
      <x:c r="D489" s="7" t="n">
        <x:v>16988</x:v>
      </x:c>
      <x:c r="E489" s="6" t="n">
        <x:v>46227</x:v>
      </x:c>
      <x:c r="F489" t="n">
        <x:f>TODAY()-E489</x:f>
        <x:v>8</x:v>
      </x:c>
      <x:c r="G489" s="7" t="n">
        <x:f>SUMIF($B$5:$B$563,B489,$D$5:$D$563)</x:f>
        <x:v>16988</x:v>
      </x:c>
    </x:row>
    <x:row r="490">
      <x:c r="A490" s="6" t="n">
        <x:v>46227</x:v>
      </x:c>
      <x:c r="B490" t="str">
        <x:v>Salem Pipe Traders</x:v>
      </x:c>
      <x:c r="C490" t="str">
        <x:v>NA/1752/26-27</x:v>
      </x:c>
      <x:c r="D490" s="7" t="n">
        <x:v>2673</x:v>
      </x:c>
      <x:c r="E490" s="6" t="n">
        <x:v>46227</x:v>
      </x:c>
      <x:c r="F490" t="n">
        <x:f>TODAY()-E490</x:f>
        <x:v>8</x:v>
      </x:c>
      <x:c r="G490" s="7" t="n">
        <x:f>SUMIF($B$5:$B$563,B490,$D$5:$D$563)</x:f>
        <x:v>61020</x:v>
      </x:c>
    </x:row>
    <x:row r="491">
      <x:c r="A491" s="6" t="n">
        <x:v>46227</x:v>
      </x:c>
      <x:c r="B491" t="str">
        <x:v>Sarral Irrigations</x:v>
      </x:c>
      <x:c r="C491" t="str">
        <x:v>NA/1750/26-27</x:v>
      </x:c>
      <x:c r="D491" s="7" t="n">
        <x:v>4200</x:v>
      </x:c>
      <x:c r="E491" s="6" t="n">
        <x:v>46227</x:v>
      </x:c>
      <x:c r="F491" t="n">
        <x:f>TODAY()-E491</x:f>
        <x:v>8</x:v>
      </x:c>
      <x:c r="G491" s="7" t="n">
        <x:f>SUMIF($B$5:$B$563,B491,$D$5:$D$563)</x:f>
        <x:v>12444</x:v>
      </x:c>
    </x:row>
    <x:row r="492">
      <x:c r="A492" s="6" t="n">
        <x:v>46227</x:v>
      </x:c>
      <x:c r="B492" t="str">
        <x:v>SSTG TECHNOLOGIES INDIA PRIVATE LIMITED</x:v>
      </x:c>
      <x:c r="C492" t="str">
        <x:v>NA/1743/26-27</x:v>
      </x:c>
      <x:c r="D492" s="7" t="n">
        <x:v>10164</x:v>
      </x:c>
      <x:c r="E492" s="6" t="n">
        <x:v>46227</x:v>
      </x:c>
      <x:c r="F492" t="n">
        <x:f>TODAY()-E492</x:f>
        <x:v>8</x:v>
      </x:c>
      <x:c r="G492" s="7" t="n">
        <x:f>SUMIF($B$5:$B$563,B492,$D$5:$D$563)</x:f>
        <x:v>109542</x:v>
      </x:c>
    </x:row>
    <x:row r="493">
      <x:c r="A493" s="6" t="n">
        <x:v>46227</x:v>
      </x:c>
      <x:c r="B493" t="str">
        <x:v>V Guard Industries Ltd (EMW)</x:v>
      </x:c>
      <x:c r="C493" t="str">
        <x:v>NA/1746/26-27</x:v>
      </x:c>
      <x:c r="D493" s="7" t="n">
        <x:v>1360</x:v>
      </x:c>
      <x:c r="E493" s="6" t="n">
        <x:v>46227</x:v>
      </x:c>
      <x:c r="F493" t="n">
        <x:f>TODAY()-E493</x:f>
        <x:v>8</x:v>
      </x:c>
      <x:c r="G493" s="7" t="n">
        <x:f>SUMIF($B$5:$B$563,B493,$D$5:$D$563)</x:f>
        <x:v>70377</x:v>
      </x:c>
    </x:row>
    <x:row r="494">
      <x:c r="A494" s="6" t="n">
        <x:v>46227</x:v>
      </x:c>
      <x:c r="B494" t="str">
        <x:v>Velavan Mill Store</x:v>
      </x:c>
      <x:c r="C494" t="str">
        <x:v>NA/1753/26-27</x:v>
      </x:c>
      <x:c r="D494" s="7" t="n">
        <x:v>5900</x:v>
      </x:c>
      <x:c r="E494" s="6" t="n">
        <x:v>46227</x:v>
      </x:c>
      <x:c r="F494" t="n">
        <x:f>TODAY()-E494</x:f>
        <x:v>8</x:v>
      </x:c>
      <x:c r="G494" s="7" t="n">
        <x:f>SUMIF($B$5:$B$563,B494,$D$5:$D$563)</x:f>
        <x:v>44439</x:v>
      </x:c>
    </x:row>
    <x:row r="495">
      <x:c r="A495" s="6" t="n">
        <x:v>46228</x:v>
      </x:c>
      <x:c r="B495" t="str">
        <x:v>AA Traders</x:v>
      </x:c>
      <x:c r="C495" t="str">
        <x:v>NA/1777/26-27</x:v>
      </x:c>
      <x:c r="D495" s="7" t="n">
        <x:v>37418</x:v>
      </x:c>
      <x:c r="E495" s="6" t="n">
        <x:v>46228</x:v>
      </x:c>
      <x:c r="F495" t="n">
        <x:f>TODAY()-E495</x:f>
        <x:v>7</x:v>
      </x:c>
      <x:c r="G495" s="7" t="n">
        <x:f>SUMIF($B$5:$B$563,B495,$D$5:$D$563)</x:f>
        <x:v>195809</x:v>
      </x:c>
    </x:row>
    <x:row r="496">
      <x:c r="A496" s="6" t="n">
        <x:v>46228</x:v>
      </x:c>
      <x:c r="B496" t="str">
        <x:v>Al Anwar Industrial Stores</x:v>
      </x:c>
      <x:c r="C496" t="str">
        <x:v>NA/1761/26-27</x:v>
      </x:c>
      <x:c r="D496" s="7" t="n">
        <x:v>9450</x:v>
      </x:c>
      <x:c r="E496" s="6" t="n">
        <x:v>46228</x:v>
      </x:c>
      <x:c r="F496" t="n">
        <x:f>TODAY()-E496</x:f>
        <x:v>7</x:v>
      </x:c>
      <x:c r="G496" s="7" t="n">
        <x:f>SUMIF($B$5:$B$563,B496,$D$5:$D$563)</x:f>
        <x:v>26244</x:v>
      </x:c>
    </x:row>
    <x:row r="497">
      <x:c r="A497" s="6" t="n">
        <x:v>46228</x:v>
      </x:c>
      <x:c r="B497" t="str">
        <x:v>Argo Hytos Pvt.Ltd</x:v>
      </x:c>
      <x:c r="C497" t="str">
        <x:v>NA/1759/26-27</x:v>
      </x:c>
      <x:c r="D497" s="7" t="n">
        <x:v>1770</x:v>
      </x:c>
      <x:c r="E497" s="6" t="n">
        <x:v>46228</x:v>
      </x:c>
      <x:c r="F497" t="n">
        <x:f>TODAY()-E497</x:f>
        <x:v>7</x:v>
      </x:c>
      <x:c r="G497" s="7" t="n">
        <x:f>SUMIF($B$5:$B$563,B497,$D$5:$D$563)</x:f>
        <x:v>52708</x:v>
      </x:c>
    </x:row>
    <x:row r="498">
      <x:c r="A498" s="6" t="n">
        <x:v>46228</x:v>
      </x:c>
      <x:c r="B498" t="str">
        <x:v>BEST MACHINERY SUPPLIER</x:v>
      </x:c>
      <x:c r="C498" t="str">
        <x:v>NA/1770/26-27</x:v>
      </x:c>
      <x:c r="D498" s="7" t="n">
        <x:v>1875</x:v>
      </x:c>
      <x:c r="E498" s="6" t="n">
        <x:v>46228</x:v>
      </x:c>
      <x:c r="F498" t="n">
        <x:f>TODAY()-E498</x:f>
        <x:v>7</x:v>
      </x:c>
      <x:c r="G498" s="7" t="n">
        <x:f>SUMIF($B$5:$B$563,B498,$D$5:$D$563)</x:f>
        <x:v>66140</x:v>
      </x:c>
    </x:row>
    <x:row r="499">
      <x:c r="A499" s="6" t="n">
        <x:v>46228</x:v>
      </x:c>
      <x:c r="B499" t="str">
        <x:v>Burhani Traders</x:v>
      </x:c>
      <x:c r="C499" t="str">
        <x:v>NA/1773/26-27</x:v>
      </x:c>
      <x:c r="D499" s="7" t="n">
        <x:v>5145</x:v>
      </x:c>
      <x:c r="E499" s="6" t="n">
        <x:v>46228</x:v>
      </x:c>
      <x:c r="F499" t="n">
        <x:f>TODAY()-E499</x:f>
        <x:v>7</x:v>
      </x:c>
      <x:c r="G499" s="7" t="n">
        <x:f>SUMIF($B$5:$B$563,B499,$D$5:$D$563)</x:f>
        <x:v>238111</x:v>
      </x:c>
    </x:row>
    <x:row r="500">
      <x:c r="A500" s="6" t="n">
        <x:v>46228</x:v>
      </x:c>
      <x:c r="B500" t="str">
        <x:v>Evershine Enterprises</x:v>
      </x:c>
      <x:c r="C500" t="str">
        <x:v>NA/1771/26-27</x:v>
      </x:c>
      <x:c r="D500" s="7" t="n">
        <x:v>400</x:v>
      </x:c>
      <x:c r="E500" s="6" t="n">
        <x:v>46228</x:v>
      </x:c>
      <x:c r="F500" t="n">
        <x:f>TODAY()-E500</x:f>
        <x:v>7</x:v>
      </x:c>
      <x:c r="G500" s="7" t="n">
        <x:f>SUMIF($B$5:$B$563,B500,$D$5:$D$563)</x:f>
        <x:v>53111</x:v>
      </x:c>
    </x:row>
    <x:row r="501">
      <x:c r="A501" s="6" t="n">
        <x:v>46228</x:v>
      </x:c>
      <x:c r="B501" t="str">
        <x:v>Fairdeal Industrial Suppliers</x:v>
      </x:c>
      <x:c r="C501" t="str">
        <x:v>NA/1775/26-27</x:v>
      </x:c>
      <x:c r="D501" s="7" t="n">
        <x:v>15000</x:v>
      </x:c>
      <x:c r="E501" s="6" t="n">
        <x:v>46228</x:v>
      </x:c>
      <x:c r="F501" t="n">
        <x:f>TODAY()-E501</x:f>
        <x:v>7</x:v>
      </x:c>
      <x:c r="G501" s="7" t="n">
        <x:f>SUMIF($B$5:$B$563,B501,$D$5:$D$563)</x:f>
        <x:v>30500</x:v>
      </x:c>
    </x:row>
    <x:row r="502">
      <x:c r="A502" s="6" t="n">
        <x:v>46228</x:v>
      </x:c>
      <x:c r="B502" t="str">
        <x:v>General Industrial Suppliers</x:v>
      </x:c>
      <x:c r="C502" t="str">
        <x:v>NA/1767/26-27</x:v>
      </x:c>
      <x:c r="D502" s="7" t="n">
        <x:v>8733</x:v>
      </x:c>
      <x:c r="E502" s="6" t="n">
        <x:v>46228</x:v>
      </x:c>
      <x:c r="F502" t="n">
        <x:f>TODAY()-E502</x:f>
        <x:v>7</x:v>
      </x:c>
      <x:c r="G502" s="7" t="n">
        <x:f>SUMIF($B$5:$B$563,B502,$D$5:$D$563)</x:f>
        <x:v>145391</x:v>
      </x:c>
    </x:row>
    <x:row r="503">
      <x:c r="A503" s="6" t="n">
        <x:v>46228</x:v>
      </x:c>
      <x:c r="B503" t="str">
        <x:v>GIS Engineering Co</x:v>
      </x:c>
      <x:c r="C503" t="str">
        <x:v>NA/1768/26-27</x:v>
      </x:c>
      <x:c r="D503" s="7" t="n">
        <x:v>6750</x:v>
      </x:c>
      <x:c r="E503" s="6" t="n">
        <x:v>46228</x:v>
      </x:c>
      <x:c r="F503" t="n">
        <x:f>TODAY()-E503</x:f>
        <x:v>7</x:v>
      </x:c>
      <x:c r="G503" s="7" t="n">
        <x:f>SUMIF($B$5:$B$563,B503,$D$5:$D$563)</x:f>
        <x:v>67304</x:v>
      </x:c>
    </x:row>
    <x:row r="504">
      <x:c r="A504" s="6" t="n">
        <x:v>46228</x:v>
      </x:c>
      <x:c r="B504" t="str">
        <x:v>Prime Trading Company</x:v>
      </x:c>
      <x:c r="C504" t="str">
        <x:v>NA/1774/26-27</x:v>
      </x:c>
      <x:c r="D504" s="7" t="n">
        <x:v>9190</x:v>
      </x:c>
      <x:c r="E504" s="6" t="n">
        <x:v>46228</x:v>
      </x:c>
      <x:c r="F504" t="n">
        <x:f>TODAY()-E504</x:f>
        <x:v>7</x:v>
      </x:c>
      <x:c r="G504" s="7" t="n">
        <x:f>SUMIF($B$5:$B$563,B504,$D$5:$D$563)</x:f>
        <x:v>107502</x:v>
      </x:c>
    </x:row>
    <x:row r="505">
      <x:c r="A505" s="6" t="n">
        <x:v>46228</x:v>
      </x:c>
      <x:c r="B505" t="str">
        <x:v>S to Z Traders</x:v>
      </x:c>
      <x:c r="C505" t="str">
        <x:v>NA/1762/26-27</x:v>
      </x:c>
      <x:c r="D505" s="7" t="n">
        <x:v>4088</x:v>
      </x:c>
      <x:c r="E505" s="6" t="n">
        <x:v>46228</x:v>
      </x:c>
      <x:c r="F505" t="n">
        <x:f>TODAY()-E505</x:f>
        <x:v>7</x:v>
      </x:c>
      <x:c r="G505" s="7" t="n">
        <x:f>SUMIF($B$5:$B$563,B505,$D$5:$D$563)</x:f>
        <x:v>77473</x:v>
      </x:c>
    </x:row>
    <x:row r="506">
      <x:c r="A506" s="6" t="n">
        <x:v>46228</x:v>
      </x:c>
      <x:c r="B506" t="str">
        <x:v>South Coast Enterprises</x:v>
      </x:c>
      <x:c r="C506" t="str">
        <x:v>NA/1769/26-27</x:v>
      </x:c>
      <x:c r="D506" s="7" t="n">
        <x:v>680</x:v>
      </x:c>
      <x:c r="E506" s="6" t="n">
        <x:v>46228</x:v>
      </x:c>
      <x:c r="F506" t="n">
        <x:f>TODAY()-E506</x:f>
        <x:v>7</x:v>
      </x:c>
      <x:c r="G506" s="7" t="n">
        <x:f>SUMIF($B$5:$B$563,B506,$D$5:$D$563)</x:f>
        <x:v>14037</x:v>
      </x:c>
    </x:row>
    <x:row r="507">
      <x:c r="A507" s="6" t="n">
        <x:v>46228</x:v>
      </x:c>
      <x:c r="B507" t="str">
        <x:v>Unique Wire Ropes &amp; Tackles</x:v>
      </x:c>
      <x:c r="C507" t="str">
        <x:v>NA/1772/26-27</x:v>
      </x:c>
      <x:c r="D507" s="7" t="n">
        <x:v>1098</x:v>
      </x:c>
      <x:c r="E507" s="6" t="n">
        <x:v>46228</x:v>
      </x:c>
      <x:c r="F507" t="n">
        <x:f>TODAY()-E507</x:f>
        <x:v>7</x:v>
      </x:c>
      <x:c r="G507" s="7" t="n">
        <x:f>SUMIF($B$5:$B$563,B507,$D$5:$D$563)</x:f>
        <x:v>86975</x:v>
      </x:c>
    </x:row>
    <x:row r="508">
      <x:c r="A508" s="6" t="n">
        <x:v>46228</x:v>
      </x:c>
      <x:c r="B508" t="str">
        <x:v>V Guard Industries Ltd (EMW)</x:v>
      </x:c>
      <x:c r="C508" t="str">
        <x:v>NA/1760/26-27</x:v>
      </x:c>
      <x:c r="D508" s="7" t="n">
        <x:v>1652</x:v>
      </x:c>
      <x:c r="E508" s="6" t="n">
        <x:v>46228</x:v>
      </x:c>
      <x:c r="F508" t="n">
        <x:f>TODAY()-E508</x:f>
        <x:v>7</x:v>
      </x:c>
      <x:c r="G508" s="7" t="n">
        <x:f>SUMIF($B$5:$B$563,B508,$D$5:$D$563)</x:f>
        <x:v>70377</x:v>
      </x:c>
    </x:row>
    <x:row r="509">
      <x:c r="A509" s="6" t="n">
        <x:v>46230</x:v>
      </x:c>
      <x:c r="B509" t="str">
        <x:v>AA Traders</x:v>
      </x:c>
      <x:c r="C509" t="str">
        <x:v>NA/1796/26-27</x:v>
      </x:c>
      <x:c r="D509" s="7" t="n">
        <x:v>18231</x:v>
      </x:c>
      <x:c r="E509" s="6" t="n">
        <x:v>46230</x:v>
      </x:c>
      <x:c r="F509" t="n">
        <x:f>TODAY()-E509</x:f>
        <x:v>5</x:v>
      </x:c>
      <x:c r="G509" s="7" t="n">
        <x:f>SUMIF($B$5:$B$563,B509,$D$5:$D$563)</x:f>
        <x:v>195809</x:v>
      </x:c>
    </x:row>
    <x:row r="510">
      <x:c r="A510" s="6" t="n">
        <x:v>46230</x:v>
      </x:c>
      <x:c r="B510" t="str">
        <x:v>AA Traders</x:v>
      </x:c>
      <x:c r="C510" t="str">
        <x:v>NA/1802/26-27</x:v>
      </x:c>
      <x:c r="D510" s="7" t="n">
        <x:v>6955</x:v>
      </x:c>
      <x:c r="E510" s="6" t="n">
        <x:v>46230</x:v>
      </x:c>
      <x:c r="F510" t="n">
        <x:f>TODAY()-E510</x:f>
        <x:v>5</x:v>
      </x:c>
      <x:c r="G510" s="7" t="n">
        <x:f>SUMIF($B$5:$B$563,B510,$D$5:$D$563)</x:f>
        <x:v>195809</x:v>
      </x:c>
    </x:row>
    <x:row r="511">
      <x:c r="A511" s="6" t="n">
        <x:v>46230</x:v>
      </x:c>
      <x:c r="B511" t="str">
        <x:v>AA Traders</x:v>
      </x:c>
      <x:c r="C511" t="str">
        <x:v>NA/1815/26-27</x:v>
      </x:c>
      <x:c r="D511" s="7" t="n">
        <x:v>24365</x:v>
      </x:c>
      <x:c r="E511" s="6" t="n">
        <x:v>46230</x:v>
      </x:c>
      <x:c r="F511" t="n">
        <x:f>TODAY()-E511</x:f>
        <x:v>5</x:v>
      </x:c>
      <x:c r="G511" s="7" t="n">
        <x:f>SUMIF($B$5:$B$563,B511,$D$5:$D$563)</x:f>
        <x:v>195809</x:v>
      </x:c>
    </x:row>
    <x:row r="512">
      <x:c r="A512" s="6" t="n">
        <x:v>46230</x:v>
      </x:c>
      <x:c r="B512" t="str">
        <x:v>Al Anwar Industrial Stores</x:v>
      </x:c>
      <x:c r="C512" t="str">
        <x:v>NA/1810/26-27</x:v>
      </x:c>
      <x:c r="D512" s="7" t="n">
        <x:v>6400</x:v>
      </x:c>
      <x:c r="E512" s="6" t="n">
        <x:v>46230</x:v>
      </x:c>
      <x:c r="F512" t="n">
        <x:f>TODAY()-E512</x:f>
        <x:v>5</x:v>
      </x:c>
      <x:c r="G512" s="7" t="n">
        <x:f>SUMIF($B$5:$B$563,B512,$D$5:$D$563)</x:f>
        <x:v>26244</x:v>
      </x:c>
    </x:row>
    <x:row r="513">
      <x:c r="A513" s="6" t="n">
        <x:v>46230</x:v>
      </x:c>
      <x:c r="B513" t="str">
        <x:v>Alif Traders</x:v>
      </x:c>
      <x:c r="C513" t="str">
        <x:v>NA/1812/26-27</x:v>
      </x:c>
      <x:c r="D513" s="7" t="n">
        <x:v>7950</x:v>
      </x:c>
      <x:c r="E513" s="6" t="n">
        <x:v>46230</x:v>
      </x:c>
      <x:c r="F513" t="n">
        <x:f>TODAY()-E513</x:f>
        <x:v>5</x:v>
      </x:c>
      <x:c r="G513" s="7" t="n">
        <x:f>SUMIF($B$5:$B$563,B513,$D$5:$D$563)</x:f>
        <x:v>119404</x:v>
      </x:c>
    </x:row>
    <x:row r="514">
      <x:c r="A514" s="6" t="n">
        <x:v>46230</x:v>
      </x:c>
      <x:c r="B514" t="str">
        <x:v>Excellent Engineering Enterprises</x:v>
      </x:c>
      <x:c r="C514" t="str">
        <x:v>NA/1797/26-27</x:v>
      </x:c>
      <x:c r="D514" s="7" t="n">
        <x:v>28800</x:v>
      </x:c>
      <x:c r="E514" s="6" t="n">
        <x:v>46230</x:v>
      </x:c>
      <x:c r="F514" t="n">
        <x:f>TODAY()-E514</x:f>
        <x:v>5</x:v>
      </x:c>
      <x:c r="G514" s="7" t="n">
        <x:f>SUMIF($B$5:$B$563,B514,$D$5:$D$563)</x:f>
        <x:v>115200</x:v>
      </x:c>
    </x:row>
    <x:row r="515">
      <x:c r="A515" s="6" t="n">
        <x:v>46230</x:v>
      </x:c>
      <x:c r="B515" t="str">
        <x:v>IAMAX Precision India Pvt Ltd</x:v>
      </x:c>
      <x:c r="C515" t="str">
        <x:v>NA/1805/26-27</x:v>
      </x:c>
      <x:c r="D515" s="7" t="n">
        <x:v>19581</x:v>
      </x:c>
      <x:c r="E515" s="6" t="n">
        <x:v>46230</x:v>
      </x:c>
      <x:c r="F515" t="n">
        <x:f>TODAY()-E515</x:f>
        <x:v>5</x:v>
      </x:c>
      <x:c r="G515" s="7" t="n">
        <x:f>SUMIF($B$5:$B$563,B515,$D$5:$D$563)</x:f>
        <x:v>66432</x:v>
      </x:c>
    </x:row>
    <x:row r="516">
      <x:c r="A516" s="6" t="n">
        <x:v>46230</x:v>
      </x:c>
      <x:c r="B516" t="str">
        <x:v>IAMAX Precision India Pvt Ltd</x:v>
      </x:c>
      <x:c r="C516" t="str">
        <x:v>NA/1809/26-27</x:v>
      </x:c>
      <x:c r="D516" s="7" t="n">
        <x:v>315</x:v>
      </x:c>
      <x:c r="E516" s="6" t="n">
        <x:v>46230</x:v>
      </x:c>
      <x:c r="F516" t="n">
        <x:f>TODAY()-E516</x:f>
        <x:v>5</x:v>
      </x:c>
      <x:c r="G516" s="7" t="n">
        <x:f>SUMIF($B$5:$B$563,B516,$D$5:$D$563)</x:f>
        <x:v>66432</x:v>
      </x:c>
    </x:row>
    <x:row r="517">
      <x:c r="A517" s="6" t="n">
        <x:v>46230</x:v>
      </x:c>
      <x:c r="B517" t="str">
        <x:v>Integrated Pacline India Private Limited</x:v>
      </x:c>
      <x:c r="C517" t="str">
        <x:v>NA/1793/26-27</x:v>
      </x:c>
      <x:c r="D517" s="7" t="n">
        <x:v>29736</x:v>
      </x:c>
      <x:c r="E517" s="6" t="n">
        <x:v>46230</x:v>
      </x:c>
      <x:c r="F517" t="n">
        <x:f>TODAY()-E517</x:f>
        <x:v>5</x:v>
      </x:c>
      <x:c r="G517" s="7" t="n">
        <x:f>SUMIF($B$5:$B$563,B517,$D$5:$D$563)</x:f>
        <x:v>180026</x:v>
      </x:c>
    </x:row>
    <x:row r="518">
      <x:c r="A518" s="6" t="n">
        <x:v>46230</x:v>
      </x:c>
      <x:c r="B518" t="str">
        <x:v>Triumph Trading Company</x:v>
      </x:c>
      <x:c r="C518" t="str">
        <x:v>NA/1791/26-27</x:v>
      </x:c>
      <x:c r="D518" s="7" t="n">
        <x:v>6480</x:v>
      </x:c>
      <x:c r="E518" s="6" t="n">
        <x:v>46230</x:v>
      </x:c>
      <x:c r="F518" t="n">
        <x:f>TODAY()-E518</x:f>
        <x:v>5</x:v>
      </x:c>
      <x:c r="G518" s="7" t="n">
        <x:f>SUMIF($B$5:$B$563,B518,$D$5:$D$563)</x:f>
        <x:v>29138</x:v>
      </x:c>
    </x:row>
    <x:row r="519">
      <x:c r="A519" s="6" t="n">
        <x:v>46231</x:v>
      </x:c>
      <x:c r="B519" t="str">
        <x:v>B M Trade Links</x:v>
      </x:c>
      <x:c r="C519" t="str">
        <x:v>NA/1819/26-27</x:v>
      </x:c>
      <x:c r="D519" s="7" t="n">
        <x:v>386</x:v>
      </x:c>
      <x:c r="E519" s="6" t="n">
        <x:v>46231</x:v>
      </x:c>
      <x:c r="F519" t="n">
        <x:f>TODAY()-E519</x:f>
        <x:v>4</x:v>
      </x:c>
      <x:c r="G519" s="7" t="n">
        <x:f>SUMIF($B$5:$B$563,B519,$D$5:$D$563)</x:f>
        <x:v>23286</x:v>
      </x:c>
    </x:row>
    <x:row r="520">
      <x:c r="A520" s="6" t="n">
        <x:v>46231</x:v>
      </x:c>
      <x:c r="B520" t="str">
        <x:v>Black Thunder Theme Park P Ltd</x:v>
      </x:c>
      <x:c r="C520" t="str">
        <x:v>NA/1820/26-27</x:v>
      </x:c>
      <x:c r="D520" s="7" t="n">
        <x:v>1711</x:v>
      </x:c>
      <x:c r="E520" s="6" t="n">
        <x:v>46231</x:v>
      </x:c>
      <x:c r="F520" t="n">
        <x:f>TODAY()-E520</x:f>
        <x:v>4</x:v>
      </x:c>
      <x:c r="G520" s="7" t="n">
        <x:f>SUMIF($B$5:$B$563,B520,$D$5:$D$563)</x:f>
        <x:v>1711</x:v>
      </x:c>
    </x:row>
    <x:row r="521">
      <x:c r="A521" s="6" t="n">
        <x:v>46231</x:v>
      </x:c>
      <x:c r="B521" t="str">
        <x:v>M K Hardware</x:v>
      </x:c>
      <x:c r="C521" t="str">
        <x:v>NA/1818/26-27</x:v>
      </x:c>
      <x:c r="D521" s="7" t="n">
        <x:v>880</x:v>
      </x:c>
      <x:c r="E521" s="6" t="n">
        <x:v>46231</x:v>
      </x:c>
      <x:c r="F521" t="n">
        <x:f>TODAY()-E521</x:f>
        <x:v>4</x:v>
      </x:c>
      <x:c r="G521" s="7" t="n">
        <x:f>SUMIF($B$5:$B$563,B521,$D$5:$D$563)</x:f>
        <x:v>880</x:v>
      </x:c>
    </x:row>
    <x:row r="522">
      <x:c r="A522" s="6" t="n">
        <x:v>46231</x:v>
      </x:c>
      <x:c r="B522" t="str">
        <x:v>S.A. Traders</x:v>
      </x:c>
      <x:c r="C522" t="str">
        <x:v>NA/1831/26-27</x:v>
      </x:c>
      <x:c r="D522" s="7" t="n">
        <x:v>3793</x:v>
      </x:c>
      <x:c r="E522" s="6" t="n">
        <x:v>46231</x:v>
      </x:c>
      <x:c r="F522" t="n">
        <x:f>TODAY()-E522</x:f>
        <x:v>4</x:v>
      </x:c>
      <x:c r="G522" s="7" t="n">
        <x:f>SUMIF($B$5:$B$563,B522,$D$5:$D$563)</x:f>
        <x:v>3793</x:v>
      </x:c>
    </x:row>
    <x:row r="523">
      <x:c r="A523" s="6" t="n">
        <x:v>46231</x:v>
      </x:c>
      <x:c r="B523" t="str">
        <x:v>SHANTHI ELECTRICALS AND HARDWARES</x:v>
      </x:c>
      <x:c r="C523" t="str">
        <x:v>NA/1832/26-27</x:v>
      </x:c>
      <x:c r="D523" s="7" t="n">
        <x:v>1728</x:v>
      </x:c>
      <x:c r="E523" s="6" t="n">
        <x:v>46231</x:v>
      </x:c>
      <x:c r="F523" t="n">
        <x:f>TODAY()-E523</x:f>
        <x:v>4</x:v>
      </x:c>
      <x:c r="G523" s="7" t="n">
        <x:f>SUMIF($B$5:$B$563,B523,$D$5:$D$563)</x:f>
        <x:v>8878</x:v>
      </x:c>
    </x:row>
    <x:row r="524">
      <x:c r="A524" s="6" t="n">
        <x:v>46232</x:v>
      </x:c>
      <x:c r="B524" t="str">
        <x:v>AA Traders</x:v>
      </x:c>
      <x:c r="C524" t="str">
        <x:v>NA/1846/26-27</x:v>
      </x:c>
      <x:c r="D524" s="7" t="n">
        <x:v>38040</x:v>
      </x:c>
      <x:c r="E524" s="6" t="n">
        <x:v>46232</x:v>
      </x:c>
      <x:c r="F524" t="n">
        <x:f>TODAY()-E524</x:f>
        <x:v>3</x:v>
      </x:c>
      <x:c r="G524" s="7" t="n">
        <x:f>SUMIF($B$5:$B$563,B524,$D$5:$D$563)</x:f>
        <x:v>195809</x:v>
      </x:c>
    </x:row>
    <x:row r="525">
      <x:c r="A525" s="6" t="n">
        <x:v>46232</x:v>
      </x:c>
      <x:c r="B525" t="str">
        <x:v>NAAMAKKAL CONSTRUCTIONS</x:v>
      </x:c>
      <x:c r="C525" t="str">
        <x:v>NA/1839/26-27</x:v>
      </x:c>
      <x:c r="D525" s="7" t="n">
        <x:v>3900</x:v>
      </x:c>
      <x:c r="E525" s="6" t="n">
        <x:v>46232</x:v>
      </x:c>
      <x:c r="F525" t="n">
        <x:f>TODAY()-E525</x:f>
        <x:v>3</x:v>
      </x:c>
      <x:c r="G525" s="7" t="n">
        <x:f>SUMIF($B$5:$B$563,B525,$D$5:$D$563)</x:f>
        <x:v>3900</x:v>
      </x:c>
    </x:row>
    <x:row r="526">
      <x:c r="A526" s="6" t="n">
        <x:v>46232</x:v>
      </x:c>
      <x:c r="B526" t="str">
        <x:v>Safeboy Safety Solutions</x:v>
      </x:c>
      <x:c r="C526" t="str">
        <x:v>NA/1851/26-27</x:v>
      </x:c>
      <x:c r="D526" s="7" t="n">
        <x:v>7046</x:v>
      </x:c>
      <x:c r="E526" s="6" t="n">
        <x:v>46232</x:v>
      </x:c>
      <x:c r="F526" t="n">
        <x:f>TODAY()-E526</x:f>
        <x:v>3</x:v>
      </x:c>
      <x:c r="G526" s="7" t="n">
        <x:f>SUMIF($B$5:$B$563,B526,$D$5:$D$563)</x:f>
        <x:v>22276</x:v>
      </x:c>
    </x:row>
    <x:row r="527">
      <x:c r="A527" s="6" t="n">
        <x:v>46232</x:v>
      </x:c>
      <x:c r="B527" t="str">
        <x:v>Sardha Enterprises</x:v>
      </x:c>
      <x:c r="C527" t="str">
        <x:v>NA/1837/26-27</x:v>
      </x:c>
      <x:c r="D527" s="7" t="n">
        <x:v>1039</x:v>
      </x:c>
      <x:c r="E527" s="6" t="n">
        <x:v>46232</x:v>
      </x:c>
      <x:c r="F527" t="n">
        <x:f>TODAY()-E527</x:f>
        <x:v>3</x:v>
      </x:c>
      <x:c r="G527" s="7" t="n">
        <x:f>SUMIF($B$5:$B$563,B527,$D$5:$D$563)</x:f>
        <x:v>1659</x:v>
      </x:c>
    </x:row>
    <x:row r="528">
      <x:c r="A528" s="6" t="n">
        <x:v>46232</x:v>
      </x:c>
      <x:c r="B528" t="str">
        <x:v>Union Enterprises</x:v>
      </x:c>
      <x:c r="C528" t="str">
        <x:v>NA/1834/26-27</x:v>
      </x:c>
      <x:c r="D528" s="7" t="n">
        <x:v>20500</x:v>
      </x:c>
      <x:c r="E528" s="6" t="n">
        <x:v>46232</x:v>
      </x:c>
      <x:c r="F528" t="n">
        <x:f>TODAY()-E528</x:f>
        <x:v>3</x:v>
      </x:c>
      <x:c r="G528" s="7" t="n">
        <x:f>SUMIF($B$5:$B$563,B528,$D$5:$D$563)</x:f>
        <x:v>23173</x:v>
      </x:c>
    </x:row>
    <x:row r="529">
      <x:c r="A529" s="6" t="n">
        <x:v>46232</x:v>
      </x:c>
      <x:c r="B529" t="str">
        <x:v>VME PRECAST PRODUCTS</x:v>
      </x:c>
      <x:c r="C529" t="str">
        <x:v>NA/1847/26-27</x:v>
      </x:c>
      <x:c r="D529" s="7" t="n">
        <x:v>154601</x:v>
      </x:c>
      <x:c r="E529" s="6" t="n">
        <x:v>46232</x:v>
      </x:c>
      <x:c r="F529" t="n">
        <x:f>TODAY()-E529</x:f>
        <x:v>3</x:v>
      </x:c>
      <x:c r="G529" s="7" t="n">
        <x:f>SUMIF($B$5:$B$563,B529,$D$5:$D$563)</x:f>
        <x:v>208518</x:v>
      </x:c>
    </x:row>
    <x:row r="530">
      <x:c r="A530" s="6" t="n">
        <x:v>46233</x:v>
      </x:c>
      <x:c r="B530" t="str">
        <x:v>Fahi Q Innovation</x:v>
      </x:c>
      <x:c r="C530" t="str">
        <x:v>NA/1859/26-27</x:v>
      </x:c>
      <x:c r="D530" s="7" t="n">
        <x:v>1982</x:v>
      </x:c>
      <x:c r="E530" s="6" t="n">
        <x:v>46233</x:v>
      </x:c>
      <x:c r="F530" t="n">
        <x:f>TODAY()-E530</x:f>
        <x:v>2</x:v>
      </x:c>
      <x:c r="G530" s="7" t="n">
        <x:f>SUMIF($B$5:$B$563,B530,$D$5:$D$563)</x:f>
        <x:v>68959</x:v>
      </x:c>
    </x:row>
    <x:row r="531">
      <x:c r="A531" s="6" t="n">
        <x:v>46233</x:v>
      </x:c>
      <x:c r="B531" t="str">
        <x:v>V Guard Industries Ltd (EMW)</x:v>
      </x:c>
      <x:c r="C531" t="str">
        <x:v>NA/1857/26-27</x:v>
      </x:c>
      <x:c r="D531" s="7" t="n">
        <x:v>1446</x:v>
      </x:c>
      <x:c r="E531" s="6" t="n">
        <x:v>46233</x:v>
      </x:c>
      <x:c r="F531" t="n">
        <x:f>TODAY()-E531</x:f>
        <x:v>2</x:v>
      </x:c>
      <x:c r="G531" s="7" t="n">
        <x:f>SUMIF($B$5:$B$563,B531,$D$5:$D$563)</x:f>
        <x:v>70377</x:v>
      </x:c>
    </x:row>
    <x:row r="532">
      <x:c r="A532" s="6" t="n">
        <x:v>46233</x:v>
      </x:c>
      <x:c r="B532" t="str">
        <x:v>V Guard Industries Ltd (EMW)</x:v>
      </x:c>
      <x:c r="C532" t="str">
        <x:v>NA/1858/26-27</x:v>
      </x:c>
      <x:c r="D532" s="7" t="n">
        <x:v>2950</x:v>
      </x:c>
      <x:c r="E532" s="6" t="n">
        <x:v>46233</x:v>
      </x:c>
      <x:c r="F532" t="n">
        <x:f>TODAY()-E532</x:f>
        <x:v>2</x:v>
      </x:c>
      <x:c r="G532" s="7" t="n">
        <x:f>SUMIF($B$5:$B$563,B532,$D$5:$D$563)</x:f>
        <x:v>70377</x:v>
      </x:c>
    </x:row>
    <x:row r="533">
      <x:c r="A533" s="6" t="n">
        <x:v>46233</x:v>
      </x:c>
      <x:c r="B533" t="str">
        <x:v>VME PRECAST PRODUCTS</x:v>
      </x:c>
      <x:c r="C533" t="str">
        <x:v>NA/1854/26-27</x:v>
      </x:c>
      <x:c r="D533" s="7" t="n">
        <x:v>53917</x:v>
      </x:c>
      <x:c r="E533" s="6" t="n">
        <x:v>46233</x:v>
      </x:c>
      <x:c r="F533" t="n">
        <x:f>TODAY()-E533</x:f>
        <x:v>2</x:v>
      </x:c>
      <x:c r="G533" s="7" t="n">
        <x:f>SUMIF($B$5:$B$563,B533,$D$5:$D$563)</x:f>
        <x:v>208518</x:v>
      </x:c>
    </x:row>
    <x:row r="534">
      <x:c r="A534" s="6" t="n">
        <x:v>46234</x:v>
      </x:c>
      <x:c r="B534" t="str">
        <x:v>AA Traders</x:v>
      </x:c>
      <x:c r="C534" t="str">
        <x:v>NA/1866/26-27</x:v>
      </x:c>
      <x:c r="D534" s="7" t="n">
        <x:v>70800</x:v>
      </x:c>
      <x:c r="E534" s="6" t="n">
        <x:v>46234</x:v>
      </x:c>
      <x:c r="F534" t="n">
        <x:f>TODAY()-E534</x:f>
        <x:v>1</x:v>
      </x:c>
      <x:c r="G534" s="7" t="n">
        <x:f>SUMIF($B$5:$B$563,B534,$D$5:$D$563)</x:f>
        <x:v>195809</x:v>
      </x:c>
    </x:row>
    <x:row r="535">
      <x:c r="A535" s="6" t="n">
        <x:v>46234</x:v>
      </x:c>
      <x:c r="B535" t="str">
        <x:v>Amogha Polymers India Pvt Ltd</x:v>
      </x:c>
      <x:c r="C535" t="str">
        <x:v>NA/1870/26-27</x:v>
      </x:c>
      <x:c r="D535" s="7" t="n">
        <x:v>2371</x:v>
      </x:c>
      <x:c r="E535" s="6" t="n">
        <x:v>46234</x:v>
      </x:c>
      <x:c r="F535" t="n">
        <x:f>TODAY()-E535</x:f>
        <x:v>1</x:v>
      </x:c>
      <x:c r="G535" s="7" t="n">
        <x:f>SUMIF($B$5:$B$563,B535,$D$5:$D$563)</x:f>
        <x:v>12267</x:v>
      </x:c>
    </x:row>
    <x:row r="536">
      <x:c r="A536" s="6" t="n">
        <x:v>46234</x:v>
      </x:c>
      <x:c r="B536" t="str">
        <x:v>HINDUSTAN AUTOMATIONS</x:v>
      </x:c>
      <x:c r="C536" t="str">
        <x:v>NA/1875/26-27</x:v>
      </x:c>
      <x:c r="D536" s="7" t="n">
        <x:v>1652</x:v>
      </x:c>
      <x:c r="E536" s="6" t="n">
        <x:v>46234</x:v>
      </x:c>
      <x:c r="F536" t="n">
        <x:f>TODAY()-E536</x:f>
        <x:v>1</x:v>
      </x:c>
      <x:c r="G536" s="7" t="n">
        <x:f>SUMIF($B$5:$B$563,B536,$D$5:$D$563)</x:f>
        <x:v>22266</x:v>
      </x:c>
    </x:row>
    <x:row r="537">
      <x:c r="A537" s="6" t="n">
        <x:v>46234</x:v>
      </x:c>
      <x:c r="B537" t="str">
        <x:v>Safeboy Safety Solutions</x:v>
      </x:c>
      <x:c r="C537" t="str">
        <x:v>NA/1876/26-27</x:v>
      </x:c>
      <x:c r="D537" s="7" t="n">
        <x:v>2426</x:v>
      </x:c>
      <x:c r="E537" s="6" t="n">
        <x:v>46234</x:v>
      </x:c>
      <x:c r="F537" t="n">
        <x:f>TODAY()-E537</x:f>
        <x:v>1</x:v>
      </x:c>
      <x:c r="G537" s="7" t="n">
        <x:f>SUMIF($B$5:$B$563,B537,$D$5:$D$563)</x:f>
        <x:v>22276</x:v>
      </x:c>
    </x:row>
    <x:row r="538">
      <x:c r="A538" s="6" t="n">
        <x:v>46234</x:v>
      </x:c>
      <x:c r="B538" t="str">
        <x:v>Sri Meenakshi Hardware and Tools</x:v>
      </x:c>
      <x:c r="C538" t="str">
        <x:v>NA/1865/26-27</x:v>
      </x:c>
      <x:c r="D538" s="7" t="n">
        <x:v>1804</x:v>
      </x:c>
      <x:c r="E538" s="6" t="n">
        <x:v>46234</x:v>
      </x:c>
      <x:c r="F538" t="n">
        <x:f>TODAY()-E538</x:f>
        <x:v>1</x:v>
      </x:c>
      <x:c r="G538" s="7" t="n">
        <x:f>SUMIF($B$5:$B$563,B538,$D$5:$D$563)</x:f>
        <x:v>158534</x:v>
      </x:c>
    </x:row>
    <x:row r="539">
      <x:c r="A539" s="6" t="n">
        <x:v>46234</x:v>
      </x:c>
      <x:c r="B539" t="str">
        <x:v>V Guard Industries Ltd (EMW)</x:v>
      </x:c>
      <x:c r="C539" t="str">
        <x:v>NA/1869/26-27</x:v>
      </x:c>
      <x:c r="D539" s="7" t="n">
        <x:v>590</x:v>
      </x:c>
      <x:c r="E539" s="6" t="n">
        <x:v>46234</x:v>
      </x:c>
      <x:c r="F539" t="n">
        <x:f>TODAY()-E539</x:f>
        <x:v>1</x:v>
      </x:c>
      <x:c r="G539" s="7" t="n">
        <x:f>SUMIF($B$5:$B$563,B539,$D$5:$D$563)</x:f>
        <x:v>70377</x:v>
      </x:c>
    </x:row>
    <x:row r="540">
      <x:c r="A540" s="6" t="n">
        <x:v>46235</x:v>
      </x:c>
      <x:c r="B540" t="str">
        <x:v>Aj Body Shop Solutions</x:v>
      </x:c>
      <x:c r="C540" t="str">
        <x:v>NA/1901/26-27</x:v>
      </x:c>
      <x:c r="D540" s="7" t="n">
        <x:v>2592</x:v>
      </x:c>
      <x:c r="E540" s="6" t="n">
        <x:v>46235</x:v>
      </x:c>
      <x:c r="F540" t="n">
        <x:f>TODAY()-E540</x:f>
        <x:v>0</x:v>
      </x:c>
      <x:c r="G540" s="7" t="n">
        <x:f>SUMIF($B$5:$B$563,B540,$D$5:$D$563)</x:f>
        <x:v>2592</x:v>
      </x:c>
    </x:row>
    <x:row r="541">
      <x:c r="A541" s="6" t="n">
        <x:v>46235</x:v>
      </x:c>
      <x:c r="B541" t="str">
        <x:v>Al Anwar Industrial Stores</x:v>
      </x:c>
      <x:c r="C541" t="str">
        <x:v>NA/1890/26-27</x:v>
      </x:c>
      <x:c r="D541" s="7" t="n">
        <x:v>6494</x:v>
      </x:c>
      <x:c r="E541" s="6" t="n">
        <x:v>46235</x:v>
      </x:c>
      <x:c r="F541" t="n">
        <x:f>TODAY()-E541</x:f>
        <x:v>0</x:v>
      </x:c>
      <x:c r="G541" s="7" t="n">
        <x:f>SUMIF($B$5:$B$563,B541,$D$5:$D$563)</x:f>
        <x:v>26244</x:v>
      </x:c>
    </x:row>
    <x:row r="542">
      <x:c r="A542" s="6" t="n">
        <x:v>46235</x:v>
      </x:c>
      <x:c r="B542" t="str">
        <x:v>Alif Traders</x:v>
      </x:c>
      <x:c r="C542" t="str">
        <x:v>NA/1897/26-27</x:v>
      </x:c>
      <x:c r="D542" s="7" t="n">
        <x:v>3780</x:v>
      </x:c>
      <x:c r="E542" s="6" t="n">
        <x:v>46235</x:v>
      </x:c>
      <x:c r="F542" t="n">
        <x:f>TODAY()-E542</x:f>
        <x:v>0</x:v>
      </x:c>
      <x:c r="G542" s="7" t="n">
        <x:f>SUMIF($B$5:$B$563,B542,$D$5:$D$563)</x:f>
        <x:v>119404</x:v>
      </x:c>
    </x:row>
    <x:row r="543">
      <x:c r="A543" s="6" t="n">
        <x:v>46235</x:v>
      </x:c>
      <x:c r="B543" t="str">
        <x:v>Auto Mech Tools</x:v>
      </x:c>
      <x:c r="C543" t="str">
        <x:v>NA/1887/26-27</x:v>
      </x:c>
      <x:c r="D543" s="7" t="n">
        <x:v>365</x:v>
      </x:c>
      <x:c r="E543" s="6" t="n">
        <x:v>46235</x:v>
      </x:c>
      <x:c r="F543" t="n">
        <x:f>TODAY()-E543</x:f>
        <x:v>0</x:v>
      </x:c>
      <x:c r="G543" s="7" t="n">
        <x:f>SUMIF($B$5:$B$563,B543,$D$5:$D$563)</x:f>
        <x:v>92608</x:v>
      </x:c>
    </x:row>
    <x:row r="544">
      <x:c r="A544" s="6" t="n">
        <x:v>46235</x:v>
      </x:c>
      <x:c r="B544" t="str">
        <x:v>BEST MACHINERY SUPPLIER</x:v>
      </x:c>
      <x:c r="C544" t="str">
        <x:v>NA/1896/26-27</x:v>
      </x:c>
      <x:c r="D544" s="7" t="n">
        <x:v>860</x:v>
      </x:c>
      <x:c r="E544" s="6" t="n">
        <x:v>46235</x:v>
      </x:c>
      <x:c r="F544" t="n">
        <x:f>TODAY()-E544</x:f>
        <x:v>0</x:v>
      </x:c>
      <x:c r="G544" s="7" t="n">
        <x:f>SUMIF($B$5:$B$563,B544,$D$5:$D$563)</x:f>
        <x:v>66140</x:v>
      </x:c>
    </x:row>
    <x:row r="545">
      <x:c r="A545" s="6" t="n">
        <x:v>46235</x:v>
      </x:c>
      <x:c r="B545" t="str">
        <x:v>Burhani Traders</x:v>
      </x:c>
      <x:c r="C545" t="str">
        <x:v>NA/1889/26-27</x:v>
      </x:c>
      <x:c r="D545" s="7" t="n">
        <x:v>3533</x:v>
      </x:c>
      <x:c r="E545" s="6" t="n">
        <x:v>46235</x:v>
      </x:c>
      <x:c r="F545" t="n">
        <x:f>TODAY()-E545</x:f>
        <x:v>0</x:v>
      </x:c>
      <x:c r="G545" s="7" t="n">
        <x:f>SUMIF($B$5:$B$563,B545,$D$5:$D$563)</x:f>
        <x:v>238111</x:v>
      </x:c>
    </x:row>
    <x:row r="546">
      <x:c r="A546" s="6" t="n">
        <x:v>46235</x:v>
      </x:c>
      <x:c r="B546" t="str">
        <x:v>Deivanai Traders</x:v>
      </x:c>
      <x:c r="C546" t="str">
        <x:v>NA/1891/26-27</x:v>
      </x:c>
      <x:c r="D546" s="7" t="n">
        <x:v>1175</x:v>
      </x:c>
      <x:c r="E546" s="6" t="n">
        <x:v>46235</x:v>
      </x:c>
      <x:c r="F546" t="n">
        <x:f>TODAY()-E546</x:f>
        <x:v>0</x:v>
      </x:c>
      <x:c r="G546" s="7" t="n">
        <x:f>SUMIF($B$5:$B$563,B546,$D$5:$D$563)</x:f>
        <x:v>1175</x:v>
      </x:c>
    </x:row>
    <x:row r="547">
      <x:c r="A547" s="6" t="n">
        <x:v>46235</x:v>
      </x:c>
      <x:c r="B547" t="str">
        <x:v>Fabtex Engineering Works</x:v>
      </x:c>
      <x:c r="C547" t="str">
        <x:v>NA/1880/26-27</x:v>
      </x:c>
      <x:c r="D547" s="7" t="n">
        <x:v>764</x:v>
      </x:c>
      <x:c r="E547" s="6" t="n">
        <x:v>46235</x:v>
      </x:c>
      <x:c r="F547" t="n">
        <x:f>TODAY()-E547</x:f>
        <x:v>0</x:v>
      </x:c>
      <x:c r="G547" s="7" t="n">
        <x:f>SUMIF($B$5:$B$563,B547,$D$5:$D$563)</x:f>
        <x:v>764</x:v>
      </x:c>
    </x:row>
    <x:row r="548">
      <x:c r="A548" s="6" t="n">
        <x:v>46235</x:v>
      </x:c>
      <x:c r="B548" t="str">
        <x:v>General Industrial Suppliers</x:v>
      </x:c>
      <x:c r="C548" t="str">
        <x:v>NA/1894/26-27</x:v>
      </x:c>
      <x:c r="D548" s="7" t="n">
        <x:v>15820</x:v>
      </x:c>
      <x:c r="E548" s="6" t="n">
        <x:v>46235</x:v>
      </x:c>
      <x:c r="F548" t="n">
        <x:f>TODAY()-E548</x:f>
        <x:v>0</x:v>
      </x:c>
      <x:c r="G548" s="7" t="n">
        <x:f>SUMIF($B$5:$B$563,B548,$D$5:$D$563)</x:f>
        <x:v>145391</x:v>
      </x:c>
    </x:row>
    <x:row r="549">
      <x:c r="A549" s="6" t="n">
        <x:v>46235</x:v>
      </x:c>
      <x:c r="B549" t="str">
        <x:v>GIS Engineering Co</x:v>
      </x:c>
      <x:c r="C549" t="str">
        <x:v>NA/1893/26-27</x:v>
      </x:c>
      <x:c r="D549" s="7" t="n">
        <x:v>17640</x:v>
      </x:c>
      <x:c r="E549" s="6" t="n">
        <x:v>46235</x:v>
      </x:c>
      <x:c r="F549" t="n">
        <x:f>TODAY()-E549</x:f>
        <x:v>0</x:v>
      </x:c>
      <x:c r="G549" s="7" t="n">
        <x:f>SUMIF($B$5:$B$563,B549,$D$5:$D$563)</x:f>
        <x:v>67304</x:v>
      </x:c>
    </x:row>
    <x:row r="550">
      <x:c r="A550" s="6" t="n">
        <x:v>46235</x:v>
      </x:c>
      <x:c r="B550" t="str">
        <x:v>HARIBHAVANAM RESTAURANTS INDIA PRIVATE LIMITED</x:v>
      </x:c>
      <x:c r="C550" t="str">
        <x:v>NA/1881/26-27</x:v>
      </x:c>
      <x:c r="D550" s="7" t="n">
        <x:v>1900</x:v>
      </x:c>
      <x:c r="E550" s="6" t="n">
        <x:v>46235</x:v>
      </x:c>
      <x:c r="F550" t="n">
        <x:f>TODAY()-E550</x:f>
        <x:v>0</x:v>
      </x:c>
      <x:c r="G550" s="7" t="n">
        <x:f>SUMIF($B$5:$B$563,B550,$D$5:$D$563)</x:f>
        <x:v>1900</x:v>
      </x:c>
    </x:row>
    <x:row r="551">
      <x:c r="A551" s="6" t="n">
        <x:v>46235</x:v>
      </x:c>
      <x:c r="B551" t="str">
        <x:v>JS ENTERPRISES L1Z7</x:v>
      </x:c>
      <x:c r="C551" t="str">
        <x:v>NA/1878/26-27</x:v>
      </x:c>
      <x:c r="D551" s="7" t="n">
        <x:v>1770</x:v>
      </x:c>
      <x:c r="E551" s="6" t="n">
        <x:v>46235</x:v>
      </x:c>
      <x:c r="F551" t="n">
        <x:f>TODAY()-E551</x:f>
        <x:v>0</x:v>
      </x:c>
      <x:c r="G551" s="7" t="n">
        <x:f>SUMIF($B$5:$B$563,B551,$D$5:$D$563)</x:f>
        <x:v>1770</x:v>
      </x:c>
    </x:row>
    <x:row r="552">
      <x:c r="A552" s="6" t="n">
        <x:v>46235</x:v>
      </x:c>
      <x:c r="B552" t="str">
        <x:v>KRP ENGINEERING WORKS</x:v>
      </x:c>
      <x:c r="C552" t="str">
        <x:v>NA/1879/26-27</x:v>
      </x:c>
      <x:c r="D552" s="7" t="n">
        <x:v>3500</x:v>
      </x:c>
      <x:c r="E552" s="6" t="n">
        <x:v>46235</x:v>
      </x:c>
      <x:c r="F552" t="n">
        <x:f>TODAY()-E552</x:f>
        <x:v>0</x:v>
      </x:c>
      <x:c r="G552" s="7" t="n">
        <x:f>SUMIF($B$5:$B$563,B552,$D$5:$D$563)</x:f>
        <x:v>3500</x:v>
      </x:c>
    </x:row>
    <x:row r="553">
      <x:c r="A553" s="6" t="n">
        <x:v>46235</x:v>
      </x:c>
      <x:c r="B553" t="str">
        <x:v>NANDA FEEDS PRIVATE LIMITED</x:v>
      </x:c>
      <x:c r="C553" t="str">
        <x:v>NA/1882/26-27</x:v>
      </x:c>
      <x:c r="D553" s="7" t="n">
        <x:v>1168</x:v>
      </x:c>
      <x:c r="E553" s="6" t="n">
        <x:v>46235</x:v>
      </x:c>
      <x:c r="F553" t="n">
        <x:f>TODAY()-E553</x:f>
        <x:v>0</x:v>
      </x:c>
      <x:c r="G553" s="7" t="n">
        <x:f>SUMIF($B$5:$B$563,B553,$D$5:$D$563)</x:f>
        <x:v>1168</x:v>
      </x:c>
    </x:row>
    <x:row r="554">
      <x:c r="A554" s="6" t="n">
        <x:v>46235</x:v>
      </x:c>
      <x:c r="B554" t="str">
        <x:v>Nandhu Coats</x:v>
      </x:c>
      <x:c r="C554" t="str">
        <x:v>NA/1883/26-27</x:v>
      </x:c>
      <x:c r="D554" s="7" t="n">
        <x:v>12296</x:v>
      </x:c>
      <x:c r="E554" s="6" t="n">
        <x:v>46235</x:v>
      </x:c>
      <x:c r="F554" t="n">
        <x:f>TODAY()-E554</x:f>
        <x:v>0</x:v>
      </x:c>
      <x:c r="G554" s="7" t="n">
        <x:f>SUMIF($B$5:$B$563,B554,$D$5:$D$563)</x:f>
        <x:v>182236</x:v>
      </x:c>
    </x:row>
    <x:row r="555">
      <x:c r="A555" s="6" t="n">
        <x:v>46235</x:v>
      </x:c>
      <x:c r="B555" t="str">
        <x:v>ROYAL TOOLS CORPORATION</x:v>
      </x:c>
      <x:c r="C555" t="str">
        <x:v>NA/1899/26-27</x:v>
      </x:c>
      <x:c r="D555" s="7" t="n">
        <x:v>5886</x:v>
      </x:c>
      <x:c r="E555" s="6" t="n">
        <x:v>46235</x:v>
      </x:c>
      <x:c r="F555" t="n">
        <x:f>TODAY()-E555</x:f>
        <x:v>0</x:v>
      </x:c>
      <x:c r="G555" s="7" t="n">
        <x:f>SUMIF($B$5:$B$563,B555,$D$5:$D$563)</x:f>
        <x:v>5886</x:v>
      </x:c>
    </x:row>
    <x:row r="556">
      <x:c r="A556" s="6" t="n">
        <x:v>46235</x:v>
      </x:c>
      <x:c r="B556" t="str">
        <x:v>S to Z Traders</x:v>
      </x:c>
      <x:c r="C556" t="str">
        <x:v>NA/1886/26-27</x:v>
      </x:c>
      <x:c r="D556" s="7" t="n">
        <x:v>8666</x:v>
      </x:c>
      <x:c r="E556" s="6" t="n">
        <x:v>46235</x:v>
      </x:c>
      <x:c r="F556" t="n">
        <x:f>TODAY()-E556</x:f>
        <x:v>0</x:v>
      </x:c>
      <x:c r="G556" s="7" t="n">
        <x:f>SUMIF($B$5:$B$563,B556,$D$5:$D$563)</x:f>
        <x:v>77473</x:v>
      </x:c>
    </x:row>
    <x:row r="557">
      <x:c r="A557" s="6" t="n">
        <x:v>46235</x:v>
      </x:c>
      <x:c r="B557" t="str">
        <x:v>SAMRAT TOOLS CENTRE</x:v>
      </x:c>
      <x:c r="C557" t="str">
        <x:v>NA/1888/26-27</x:v>
      </x:c>
      <x:c r="D557" s="7" t="n">
        <x:v>880</x:v>
      </x:c>
      <x:c r="E557" s="6" t="n">
        <x:v>46235</x:v>
      </x:c>
      <x:c r="F557" t="n">
        <x:f>TODAY()-E557</x:f>
        <x:v>0</x:v>
      </x:c>
      <x:c r="G557" s="7" t="n">
        <x:f>SUMIF($B$5:$B$563,B557,$D$5:$D$563)</x:f>
        <x:v>11900</x:v>
      </x:c>
    </x:row>
    <x:row r="558">
      <x:c r="A558" s="6" t="n">
        <x:v>46235</x:v>
      </x:c>
      <x:c r="B558" t="str">
        <x:v>SHAJI'S ENGINEERING INDUSTRIES</x:v>
      </x:c>
      <x:c r="C558" t="str">
        <x:v>NA/1898/26-27</x:v>
      </x:c>
      <x:c r="D558" s="7" t="n">
        <x:v>7775</x:v>
      </x:c>
      <x:c r="E558" s="6" t="n">
        <x:v>46235</x:v>
      </x:c>
      <x:c r="F558" t="n">
        <x:f>TODAY()-E558</x:f>
        <x:v>0</x:v>
      </x:c>
      <x:c r="G558" s="7" t="n">
        <x:f>SUMIF($B$5:$B$563,B558,$D$5:$D$563)</x:f>
        <x:v>7775</x:v>
      </x:c>
    </x:row>
    <x:row r="559">
      <x:c r="A559" s="6" t="n">
        <x:v>46235</x:v>
      </x:c>
      <x:c r="B559" t="str">
        <x:v>South Coast Enterprises</x:v>
      </x:c>
      <x:c r="C559" t="str">
        <x:v>NA/1884/26-27</x:v>
      </x:c>
      <x:c r="D559" s="7" t="n">
        <x:v>2160</x:v>
      </x:c>
      <x:c r="E559" s="6" t="n">
        <x:v>46235</x:v>
      </x:c>
      <x:c r="F559" t="n">
        <x:f>TODAY()-E559</x:f>
        <x:v>0</x:v>
      </x:c>
      <x:c r="G559" s="7" t="n">
        <x:f>SUMIF($B$5:$B$563,B559,$D$5:$D$563)</x:f>
        <x:v>14037</x:v>
      </x:c>
    </x:row>
    <x:row r="560">
      <x:c r="A560" s="6" t="n">
        <x:v>46235</x:v>
      </x:c>
      <x:c r="B560" t="str">
        <x:v>SUN FORGINGS</x:v>
      </x:c>
      <x:c r="C560" t="str">
        <x:v>NA/1885/26-27</x:v>
      </x:c>
      <x:c r="D560" s="7" t="n">
        <x:v>4500</x:v>
      </x:c>
      <x:c r="E560" s="6" t="n">
        <x:v>46235</x:v>
      </x:c>
      <x:c r="F560" t="n">
        <x:f>TODAY()-E560</x:f>
        <x:v>0</x:v>
      </x:c>
      <x:c r="G560" s="7" t="n">
        <x:f>SUMIF($B$5:$B$563,B560,$D$5:$D$563)</x:f>
        <x:v>4500</x:v>
      </x:c>
    </x:row>
    <x:row r="561">
      <x:c r="A561" s="6" t="n">
        <x:v>46235</x:v>
      </x:c>
      <x:c r="B561" t="str">
        <x:v>Triumph Trading Company</x:v>
      </x:c>
      <x:c r="C561" t="str">
        <x:v>NA/1895/26-27</x:v>
      </x:c>
      <x:c r="D561" s="7" t="n">
        <x:v>200</x:v>
      </x:c>
      <x:c r="E561" s="6" t="n">
        <x:v>46235</x:v>
      </x:c>
      <x:c r="F561" t="n">
        <x:f>TODAY()-E561</x:f>
        <x:v>0</x:v>
      </x:c>
      <x:c r="G561" s="7" t="n">
        <x:f>SUMIF($B$5:$B$563,B561,$D$5:$D$563)</x:f>
        <x:v>29138</x:v>
      </x:c>
    </x:row>
    <x:row r="562">
      <x:c r="A562" s="6" t="n">
        <x:v>46235</x:v>
      </x:c>
      <x:c r="B562" t="str">
        <x:v>Unique Wire Ropes &amp; Tackles</x:v>
      </x:c>
      <x:c r="C562" t="str">
        <x:v>NA/1900/26-27</x:v>
      </x:c>
      <x:c r="D562" s="7" t="n">
        <x:v>246</x:v>
      </x:c>
      <x:c r="E562" s="6" t="n">
        <x:v>46235</x:v>
      </x:c>
      <x:c r="F562" t="n">
        <x:f>TODAY()-E562</x:f>
        <x:v>0</x:v>
      </x:c>
      <x:c r="G562" s="7" t="n">
        <x:f>SUMIF($B$5:$B$563,B562,$D$5:$D$563)</x:f>
        <x:v>86975</x:v>
      </x:c>
    </x:row>
    <x:row r="563">
      <x:c r="A563" s="6" t="n">
        <x:v>46235</x:v>
      </x:c>
      <x:c r="B563" t="str">
        <x:v>Y M Tools Traders</x:v>
      </x:c>
      <x:c r="C563" t="str">
        <x:v>NA/1892/26-27</x:v>
      </x:c>
      <x:c r="D563" s="7" t="n">
        <x:v>642</x:v>
      </x:c>
      <x:c r="E563" s="6" t="n">
        <x:v>46235</x:v>
      </x:c>
      <x:c r="F563" t="n">
        <x:f>TODAY()-E563</x:f>
        <x:v>0</x:v>
      </x:c>
      <x:c r="G563" s="7" t="n">
        <x:f>SUMIF($B$5:$B$563,B563,$D$5:$D$563)</x:f>
        <x:v>13872</x:v>
      </x:c>
    </x:row>
  </x:sheetData>
  <x:mergeCells>
    <x:mergeCell ref="A1:G1"/>
    <x:mergeCell ref="A2:G2"/>
  </x:mergeCells>
  <x:conditionalFormatting sqref="F5:F563">
    <x:cfRule type="colorScale" priority="1">
      <x:colorScale>
        <x:cfvo type="min"/>
        <x:cfvo type="percentile" val="50"/>
        <x:cfvo type="max"/>
        <x:color rgb="FFE2F0D9"/>
        <x:color rgb="FFFFE699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e1146ad840c4f2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.130000114440918" hidden="0" customWidth="1"/>
    <x:col min="3" max="3" width="11.25" hidden="0" customWidth="1"/>
    <x:col min="4" max="4" width="5.25" hidden="0" customWidth="1"/>
  </x:cols>
  <x:sheetData>
    <x:row r="1">
      <x:c r="A1" s="3" t="str">
        <x:v>Workbook Checks</x:v>
      </x:c>
      <x:c r="B1" s="3"/>
      <x:c r="C1" s="3"/>
      <x:c r="D1" s="3"/>
    </x:row>
    <x:row r="3">
      <x:c r="A3" s="16" t="str">
        <x:v>Check</x:v>
      </x:c>
      <x:c r="B3" s="17" t="str">
        <x:v>Workbook Value</x:v>
      </x:c>
      <x:c r="C3" s="17" t="str">
        <x:v>Source Value</x:v>
      </x:c>
      <x:c r="D3" s="18" t="str">
        <x:v>Status</x:v>
      </x:c>
    </x:row>
    <x:row r="4">
      <x:c r="A4" t="str">
        <x:v>Total receivables</x:v>
      </x:c>
      <x:c r="B4" s="32" t="n">
        <x:f>SUM('Bill Details'!$D$5:$D$563)</x:f>
        <x:v>4114814</x:v>
      </x:c>
      <x:c r="C4" s="32" t="n">
        <x:v>4114814</x:v>
      </x:c>
      <x:c r="D4" t="str">
        <x:f>IF(B4=C4,"PASS","FAIL")</x:f>
        <x:v>PASS</x:v>
      </x:c>
    </x:row>
    <x:row r="5">
      <x:c r="A5" t="str">
        <x:v>Bill count</x:v>
      </x:c>
      <x:c r="B5" t="n">
        <x:f>COUNTA('Bill Details'!$B$5:$B$563)</x:f>
        <x:v>559</x:v>
      </x:c>
      <x:c r="C5" t="n">
        <x:v>559</x:v>
      </x:c>
      <x:c r="D5" t="str">
        <x:f>IF(B5=C5,"PASS","FAIL")</x:f>
        <x:v>PASS</x:v>
      </x:c>
    </x:row>
    <x:row r="6">
      <x:c r="A6" t="str">
        <x:v>Company count</x:v>
      </x:c>
      <x:c r="B6" t="n">
        <x:f>COUNTA('Company Summary'!$A$6:$A$134)</x:f>
        <x:v>129</x:v>
      </x:c>
      <x:c r="C6" t="n">
        <x:v>129</x:v>
      </x:c>
      <x:c r="D6" t="str">
        <x:f>IF(B6=C6,"PASS","FAIL")</x:f>
        <x:v>PASS</x:v>
      </x:c>
    </x:row>
    <x:row r="8">
      <x:c r="A8" s="31" t="str">
        <x:v>MODEL STATUS</x:v>
      </x:c>
      <x:c r="B8" s="31" t="str">
        <x:f>IF(COUNTIF(D4:D6,"FAIL")=0,"PASS","FAIL")</x:f>
        <x:v>PASS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.62999725341797" hidden="0" customWidth="1"/>
    <x:col min="2" max="2" width="11.880000114440918" hidden="0" customWidth="1"/>
    <x:col min="3" max="3" width="20" hidden="0" customWidth="1"/>
    <x:col min="4" max="4" width="8.25" hidden="0" customWidth="1"/>
    <x:col min="5" max="5" width="58" hidden="0" customWidth="1"/>
  </x:cols>
  <x:sheetData>
    <x:row r="1">
      <x:c r="A1" s="3" t="str">
        <x:v>Source Notes</x:v>
      </x:c>
      <x:c r="B1" s="3"/>
      <x:c r="C1" s="3"/>
      <x:c r="D1" s="3"/>
      <x:c r="E1" s="3"/>
    </x:row>
    <x:row r="3">
      <x:c r="A3" s="16" t="str">
        <x:v>Source File</x:v>
      </x:c>
      <x:c r="B3" s="17" t="str">
        <x:v>Report</x:v>
      </x:c>
      <x:c r="C3" s="17" t="str">
        <x:v>Report Period</x:v>
      </x:c>
      <x:c r="D3" s="17" t="str">
        <x:v>PDF Pages</x:v>
      </x:c>
      <x:c r="E3" s="18" t="str">
        <x:v>Extraction Note</x:v>
      </x:c>
    </x:row>
    <x:row r="4">
      <x:c r="A4" t="str">
        <x:v>RECIEVABLES.pdf</x:v>
      </x:c>
      <x:c r="B4" t="str">
        <x:v>Bills Receivable</x:v>
      </x:c>
      <x:c r="C4" t="str">
        <x:v>1-Apr-2024 to 1-Aug-2026</x:v>
      </x:c>
      <x:c r="D4" t="n">
        <x:v>11</x:v>
      </x:c>
      <x:c r="E4" t="str">
        <x:v>559 bill rows extracted; total reconciled to printed final total of ₹41,14,814.</x:v>
      </x:c>
    </x:row>
    <x:row r="6">
      <x:c r="A6" s="33" t="str">
        <x:v>Company views are ordered by oldest outstanding due date, not alphabetically. The Date Wise view is fully chronological. Aging uses TODAY().</x:v>
      </x:c>
      <x:c r="B6" s="33"/>
      <x:c r="C6" s="33"/>
      <x:c r="D6" s="33"/>
      <x:c r="E6" s="33"/>
    </x:row>
  </x:sheetData>
  <x:mergeCells>
    <x:mergeCell ref="A1:E1"/>
    <x:mergeCell ref="A6:E6"/>
  </x:mergeCells>
  <x:pageMargins left="0.7" right="0.7" top="0.75" bottom="0.75" header="0.3" footer="0.3"/>
</x:worksheet>
</file>