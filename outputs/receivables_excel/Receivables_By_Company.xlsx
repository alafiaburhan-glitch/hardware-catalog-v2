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OOR AGENCIES\Projects\hardware-catalog-v2\outputs\receivables_excel\"/>
    </mc:Choice>
  </mc:AlternateContent>
  <xr:revisionPtr revIDLastSave="0" documentId="13_ncr:1_{BE72C429-1581-43B1-B03C-2C735FD53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 Wise" sheetId="3" r:id="rId1"/>
    <sheet name="Bill Details" sheetId="2" r:id="rId2"/>
    <sheet name="Company Summary" sheetId="1" r:id="rId3"/>
    <sheet name="Checks" sheetId="4" r:id="rId4"/>
    <sheet name="Source 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D6" i="4" s="1"/>
  <c r="B5" i="4"/>
  <c r="D5" i="4" s="1"/>
  <c r="B4" i="4"/>
  <c r="D4" i="4" s="1"/>
  <c r="B8" i="4" s="1"/>
  <c r="G563" i="3"/>
  <c r="F563" i="3"/>
  <c r="G562" i="3"/>
  <c r="F562" i="3"/>
  <c r="G561" i="3"/>
  <c r="F561" i="3"/>
  <c r="G560" i="3"/>
  <c r="F560" i="3"/>
  <c r="G559" i="3"/>
  <c r="F559" i="3"/>
  <c r="G558" i="3"/>
  <c r="F558" i="3"/>
  <c r="G557" i="3"/>
  <c r="F557" i="3"/>
  <c r="G556" i="3"/>
  <c r="F556" i="3"/>
  <c r="G555" i="3"/>
  <c r="F555" i="3"/>
  <c r="G554" i="3"/>
  <c r="F554" i="3"/>
  <c r="G553" i="3"/>
  <c r="F553" i="3"/>
  <c r="G552" i="3"/>
  <c r="F552" i="3"/>
  <c r="G551" i="3"/>
  <c r="F551" i="3"/>
  <c r="G550" i="3"/>
  <c r="F550" i="3"/>
  <c r="G549" i="3"/>
  <c r="F549" i="3"/>
  <c r="G548" i="3"/>
  <c r="F548" i="3"/>
  <c r="G547" i="3"/>
  <c r="F547" i="3"/>
  <c r="G546" i="3"/>
  <c r="F546" i="3"/>
  <c r="G545" i="3"/>
  <c r="F545" i="3"/>
  <c r="G544" i="3"/>
  <c r="F544" i="3"/>
  <c r="G543" i="3"/>
  <c r="F543" i="3"/>
  <c r="G542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F533" i="3"/>
  <c r="G532" i="3"/>
  <c r="F532" i="3"/>
  <c r="G531" i="3"/>
  <c r="F531" i="3"/>
  <c r="G530" i="3"/>
  <c r="F530" i="3"/>
  <c r="G529" i="3"/>
  <c r="F529" i="3"/>
  <c r="G528" i="3"/>
  <c r="F528" i="3"/>
  <c r="G527" i="3"/>
  <c r="F527" i="3"/>
  <c r="G526" i="3"/>
  <c r="F526" i="3"/>
  <c r="G525" i="3"/>
  <c r="F525" i="3"/>
  <c r="G524" i="3"/>
  <c r="F524" i="3"/>
  <c r="G523" i="3"/>
  <c r="F523" i="3"/>
  <c r="G522" i="3"/>
  <c r="F522" i="3"/>
  <c r="G521" i="3"/>
  <c r="F521" i="3"/>
  <c r="G520" i="3"/>
  <c r="F520" i="3"/>
  <c r="G519" i="3"/>
  <c r="F519" i="3"/>
  <c r="G518" i="3"/>
  <c r="F518" i="3"/>
  <c r="G517" i="3"/>
  <c r="F517" i="3"/>
  <c r="G516" i="3"/>
  <c r="F516" i="3"/>
  <c r="G515" i="3"/>
  <c r="F515" i="3"/>
  <c r="G514" i="3"/>
  <c r="F514" i="3"/>
  <c r="G513" i="3"/>
  <c r="F513" i="3"/>
  <c r="G512" i="3"/>
  <c r="F512" i="3"/>
  <c r="G511" i="3"/>
  <c r="F511" i="3"/>
  <c r="G510" i="3"/>
  <c r="F510" i="3"/>
  <c r="G509" i="3"/>
  <c r="F509" i="3"/>
  <c r="G508" i="3"/>
  <c r="F508" i="3"/>
  <c r="G507" i="3"/>
  <c r="F507" i="3"/>
  <c r="G506" i="3"/>
  <c r="F506" i="3"/>
  <c r="G505" i="3"/>
  <c r="F505" i="3"/>
  <c r="G504" i="3"/>
  <c r="F504" i="3"/>
  <c r="G503" i="3"/>
  <c r="F503" i="3"/>
  <c r="G502" i="3"/>
  <c r="F502" i="3"/>
  <c r="G501" i="3"/>
  <c r="F501" i="3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563" i="2"/>
  <c r="F563" i="2"/>
  <c r="G562" i="2"/>
  <c r="F562" i="2"/>
  <c r="G561" i="2"/>
  <c r="F561" i="2"/>
  <c r="G560" i="2"/>
  <c r="F560" i="2"/>
  <c r="G559" i="2"/>
  <c r="F559" i="2"/>
  <c r="G558" i="2"/>
  <c r="F558" i="2"/>
  <c r="G557" i="2"/>
  <c r="F557" i="2"/>
  <c r="G556" i="2"/>
  <c r="F556" i="2"/>
  <c r="G555" i="2"/>
  <c r="F555" i="2"/>
  <c r="G554" i="2"/>
  <c r="F554" i="2"/>
  <c r="G553" i="2"/>
  <c r="F553" i="2"/>
  <c r="G552" i="2"/>
  <c r="F552" i="2"/>
  <c r="G551" i="2"/>
  <c r="F551" i="2"/>
  <c r="G550" i="2"/>
  <c r="F550" i="2"/>
  <c r="G549" i="2"/>
  <c r="F549" i="2"/>
  <c r="G548" i="2"/>
  <c r="F548" i="2"/>
  <c r="G547" i="2"/>
  <c r="F547" i="2"/>
  <c r="G546" i="2"/>
  <c r="F546" i="2"/>
  <c r="G545" i="2"/>
  <c r="F545" i="2"/>
  <c r="G544" i="2"/>
  <c r="F544" i="2"/>
  <c r="G543" i="2"/>
  <c r="F543" i="2"/>
  <c r="G542" i="2"/>
  <c r="F542" i="2"/>
  <c r="G541" i="2"/>
  <c r="F541" i="2"/>
  <c r="G540" i="2"/>
  <c r="F540" i="2"/>
  <c r="G539" i="2"/>
  <c r="F539" i="2"/>
  <c r="G538" i="2"/>
  <c r="F538" i="2"/>
  <c r="G537" i="2"/>
  <c r="F537" i="2"/>
  <c r="G536" i="2"/>
  <c r="F536" i="2"/>
  <c r="G535" i="2"/>
  <c r="F535" i="2"/>
  <c r="G534" i="2"/>
  <c r="F534" i="2"/>
  <c r="G533" i="2"/>
  <c r="F533" i="2"/>
  <c r="G532" i="2"/>
  <c r="F532" i="2"/>
  <c r="G531" i="2"/>
  <c r="F531" i="2"/>
  <c r="G530" i="2"/>
  <c r="F530" i="2"/>
  <c r="G529" i="2"/>
  <c r="F529" i="2"/>
  <c r="G528" i="2"/>
  <c r="F528" i="2"/>
  <c r="G527" i="2"/>
  <c r="F527" i="2"/>
  <c r="G526" i="2"/>
  <c r="F526" i="2"/>
  <c r="G525" i="2"/>
  <c r="F525" i="2"/>
  <c r="G524" i="2"/>
  <c r="F524" i="2"/>
  <c r="G523" i="2"/>
  <c r="F523" i="2"/>
  <c r="G522" i="2"/>
  <c r="F522" i="2"/>
  <c r="G521" i="2"/>
  <c r="F521" i="2"/>
  <c r="G520" i="2"/>
  <c r="F520" i="2"/>
  <c r="G519" i="2"/>
  <c r="F519" i="2"/>
  <c r="G518" i="2"/>
  <c r="F518" i="2"/>
  <c r="G517" i="2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E134" i="1"/>
  <c r="D134" i="1"/>
  <c r="C134" i="1"/>
  <c r="B134" i="1"/>
  <c r="E133" i="1"/>
  <c r="D133" i="1"/>
  <c r="C133" i="1"/>
  <c r="B133" i="1"/>
  <c r="E132" i="1"/>
  <c r="D132" i="1"/>
  <c r="C132" i="1"/>
  <c r="B132" i="1"/>
  <c r="E131" i="1"/>
  <c r="D131" i="1"/>
  <c r="C131" i="1"/>
  <c r="B131" i="1"/>
  <c r="E130" i="1"/>
  <c r="D130" i="1"/>
  <c r="C130" i="1"/>
  <c r="B130" i="1"/>
  <c r="E129" i="1"/>
  <c r="D129" i="1"/>
  <c r="C129" i="1"/>
  <c r="B129" i="1"/>
  <c r="E128" i="1"/>
  <c r="D128" i="1"/>
  <c r="C128" i="1"/>
  <c r="B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E124" i="1"/>
  <c r="D124" i="1"/>
  <c r="C124" i="1"/>
  <c r="B124" i="1"/>
  <c r="E123" i="1"/>
  <c r="D123" i="1"/>
  <c r="C123" i="1"/>
  <c r="B123" i="1"/>
  <c r="E122" i="1"/>
  <c r="D122" i="1"/>
  <c r="C122" i="1"/>
  <c r="B122" i="1"/>
  <c r="E121" i="1"/>
  <c r="D121" i="1"/>
  <c r="C121" i="1"/>
  <c r="B121" i="1"/>
  <c r="E120" i="1"/>
  <c r="D120" i="1"/>
  <c r="C120" i="1"/>
  <c r="B120" i="1"/>
  <c r="E119" i="1"/>
  <c r="D119" i="1"/>
  <c r="C119" i="1"/>
  <c r="B119" i="1"/>
  <c r="E118" i="1"/>
  <c r="D118" i="1"/>
  <c r="C118" i="1"/>
  <c r="B118" i="1"/>
  <c r="E117" i="1"/>
  <c r="D117" i="1"/>
  <c r="C117" i="1"/>
  <c r="B117" i="1"/>
  <c r="E116" i="1"/>
  <c r="D116" i="1"/>
  <c r="C116" i="1"/>
  <c r="B116" i="1"/>
  <c r="E115" i="1"/>
  <c r="D115" i="1"/>
  <c r="C115" i="1"/>
  <c r="B115" i="1"/>
  <c r="E114" i="1"/>
  <c r="D114" i="1"/>
  <c r="C114" i="1"/>
  <c r="B114" i="1"/>
  <c r="E113" i="1"/>
  <c r="D113" i="1"/>
  <c r="C113" i="1"/>
  <c r="B113" i="1"/>
  <c r="E112" i="1"/>
  <c r="D112" i="1"/>
  <c r="C112" i="1"/>
  <c r="B112" i="1"/>
  <c r="E111" i="1"/>
  <c r="D111" i="1"/>
  <c r="C111" i="1"/>
  <c r="B111" i="1"/>
  <c r="E110" i="1"/>
  <c r="D110" i="1"/>
  <c r="C110" i="1"/>
  <c r="B110" i="1"/>
  <c r="E109" i="1"/>
  <c r="D109" i="1"/>
  <c r="C109" i="1"/>
  <c r="B109" i="1"/>
  <c r="E108" i="1"/>
  <c r="D108" i="1"/>
  <c r="C108" i="1"/>
  <c r="B108" i="1"/>
  <c r="E107" i="1"/>
  <c r="D107" i="1"/>
  <c r="C107" i="1"/>
  <c r="B107" i="1"/>
  <c r="E106" i="1"/>
  <c r="D106" i="1"/>
  <c r="C106" i="1"/>
  <c r="B106" i="1"/>
  <c r="E105" i="1"/>
  <c r="D105" i="1"/>
  <c r="C105" i="1"/>
  <c r="B105" i="1"/>
  <c r="E104" i="1"/>
  <c r="D104" i="1"/>
  <c r="C104" i="1"/>
  <c r="B104" i="1"/>
  <c r="E103" i="1"/>
  <c r="D103" i="1"/>
  <c r="C103" i="1"/>
  <c r="B103" i="1"/>
  <c r="E102" i="1"/>
  <c r="D102" i="1"/>
  <c r="C102" i="1"/>
  <c r="B102" i="1"/>
  <c r="E101" i="1"/>
  <c r="D101" i="1"/>
  <c r="C101" i="1"/>
  <c r="B101" i="1"/>
  <c r="E100" i="1"/>
  <c r="D100" i="1"/>
  <c r="C100" i="1"/>
  <c r="B100" i="1"/>
  <c r="E99" i="1"/>
  <c r="D99" i="1"/>
  <c r="C99" i="1"/>
  <c r="B99" i="1"/>
  <c r="E98" i="1"/>
  <c r="D98" i="1"/>
  <c r="C98" i="1"/>
  <c r="B98" i="1"/>
  <c r="E97" i="1"/>
  <c r="D97" i="1"/>
  <c r="C97" i="1"/>
  <c r="B97" i="1"/>
  <c r="E96" i="1"/>
  <c r="D96" i="1"/>
  <c r="C96" i="1"/>
  <c r="B96" i="1"/>
  <c r="E95" i="1"/>
  <c r="D95" i="1"/>
  <c r="C95" i="1"/>
  <c r="B95" i="1"/>
  <c r="E94" i="1"/>
  <c r="D94" i="1"/>
  <c r="C94" i="1"/>
  <c r="B94" i="1"/>
  <c r="E93" i="1"/>
  <c r="D93" i="1"/>
  <c r="C93" i="1"/>
  <c r="B93" i="1"/>
  <c r="E92" i="1"/>
  <c r="D92" i="1"/>
  <c r="C92" i="1"/>
  <c r="B92" i="1"/>
  <c r="E91" i="1"/>
  <c r="D91" i="1"/>
  <c r="C91" i="1"/>
  <c r="B91" i="1"/>
  <c r="E90" i="1"/>
  <c r="D90" i="1"/>
  <c r="C90" i="1"/>
  <c r="B90" i="1"/>
  <c r="E89" i="1"/>
  <c r="D89" i="1"/>
  <c r="C89" i="1"/>
  <c r="B89" i="1"/>
  <c r="E88" i="1"/>
  <c r="D88" i="1"/>
  <c r="C88" i="1"/>
  <c r="B88" i="1"/>
  <c r="E87" i="1"/>
  <c r="D87" i="1"/>
  <c r="C87" i="1"/>
  <c r="B87" i="1"/>
  <c r="E86" i="1"/>
  <c r="D86" i="1"/>
  <c r="C86" i="1"/>
  <c r="B86" i="1"/>
  <c r="E85" i="1"/>
  <c r="D85" i="1"/>
  <c r="C85" i="1"/>
  <c r="B85" i="1"/>
  <c r="E84" i="1"/>
  <c r="D84" i="1"/>
  <c r="C84" i="1"/>
  <c r="B84" i="1"/>
  <c r="E83" i="1"/>
  <c r="D83" i="1"/>
  <c r="C83" i="1"/>
  <c r="B83" i="1"/>
  <c r="E82" i="1"/>
  <c r="D82" i="1"/>
  <c r="C82" i="1"/>
  <c r="B82" i="1"/>
  <c r="E81" i="1"/>
  <c r="D81" i="1"/>
  <c r="C81" i="1"/>
  <c r="B81" i="1"/>
  <c r="E80" i="1"/>
  <c r="D80" i="1"/>
  <c r="C80" i="1"/>
  <c r="B80" i="1"/>
  <c r="E79" i="1"/>
  <c r="D79" i="1"/>
  <c r="C79" i="1"/>
  <c r="B79" i="1"/>
  <c r="E78" i="1"/>
  <c r="D78" i="1"/>
  <c r="C78" i="1"/>
  <c r="B78" i="1"/>
  <c r="E77" i="1"/>
  <c r="D77" i="1"/>
  <c r="C77" i="1"/>
  <c r="B77" i="1"/>
  <c r="E76" i="1"/>
  <c r="D76" i="1"/>
  <c r="C76" i="1"/>
  <c r="B76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C72" i="1"/>
  <c r="B72" i="1"/>
  <c r="E71" i="1"/>
  <c r="D71" i="1"/>
  <c r="C71" i="1"/>
  <c r="B71" i="1"/>
  <c r="E70" i="1"/>
  <c r="D70" i="1"/>
  <c r="C70" i="1"/>
  <c r="B70" i="1"/>
  <c r="E69" i="1"/>
  <c r="D69" i="1"/>
  <c r="C69" i="1"/>
  <c r="B69" i="1"/>
  <c r="E68" i="1"/>
  <c r="D68" i="1"/>
  <c r="C68" i="1"/>
  <c r="B68" i="1"/>
  <c r="E67" i="1"/>
  <c r="D67" i="1"/>
  <c r="C67" i="1"/>
  <c r="B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3" i="1"/>
  <c r="C3" i="1"/>
  <c r="A3" i="1"/>
</calcChain>
</file>

<file path=xl/sharedStrings.xml><?xml version="1.0" encoding="utf-8"?>
<sst xmlns="http://schemas.openxmlformats.org/spreadsheetml/2006/main" count="2412" uniqueCount="727">
  <si>
    <t>Receivables by Company</t>
  </si>
  <si>
    <t>Live aging date</t>
  </si>
  <si>
    <t>Grand total</t>
  </si>
  <si>
    <t>Total bills</t>
  </si>
  <si>
    <t>Company</t>
  </si>
  <si>
    <t>Bill Count</t>
  </si>
  <si>
    <t>Total Receivable</t>
  </si>
  <si>
    <t>Oldest Due Date</t>
  </si>
  <si>
    <t>Max Days Since Due</t>
  </si>
  <si>
    <t>AA Traders</t>
  </si>
  <si>
    <t>Abbas Marketing</t>
  </si>
  <si>
    <t>Aj Body Shop Solutions</t>
  </si>
  <si>
    <t>Al Anwar Industrial Stores</t>
  </si>
  <si>
    <t>Al Massaar Trading Company</t>
  </si>
  <si>
    <t>ALIF &amp; CO</t>
  </si>
  <si>
    <t>Alif Traders</t>
  </si>
  <si>
    <t>Alutech Foundry India (P) LTD</t>
  </si>
  <si>
    <t>AM Machine Tools Centre</t>
  </si>
  <si>
    <t>Amogha Polymers India Pvt Ltd</t>
  </si>
  <si>
    <t>Apex Coco and Solar Energy PVT LTD</t>
  </si>
  <si>
    <t>Aqiq Enterprises</t>
  </si>
  <si>
    <t>Argo Hytos Pvt.Ltd</t>
  </si>
  <si>
    <t>Arun Laser Ovens PVT LTD</t>
  </si>
  <si>
    <t>Arun Rega Bakery Machineries PVT LTD UNIT-II</t>
  </si>
  <si>
    <t>Associated Hardware &amp; Tools Corporation</t>
  </si>
  <si>
    <t>Auto Mech Tools</t>
  </si>
  <si>
    <t>B M Trade Links</t>
  </si>
  <si>
    <t>BEST MACHINERY SUPPLIER</t>
  </si>
  <si>
    <t>Black Thunder Theme Park P Ltd</t>
  </si>
  <si>
    <t>BURHANI INDUSTRIAL MART</t>
  </si>
  <si>
    <t>Burhani Traders</t>
  </si>
  <si>
    <t>CARBURE ACTIVATED CARBON PRIVATE LIMITED</t>
  </si>
  <si>
    <t>Coimbatore Machinery &amp; Metal Mart</t>
  </si>
  <si>
    <t>COMET TOOLS AND HARDWARE STORES</t>
  </si>
  <si>
    <t>Concord Fire and Safety Equipments</t>
  </si>
  <si>
    <t>Coptech Wire &amp; Cable Private Limited W</t>
  </si>
  <si>
    <t>Degon Traders</t>
  </si>
  <si>
    <t>Deivanai Traders</t>
  </si>
  <si>
    <t>Destrezzza art house Pvt Ltd</t>
  </si>
  <si>
    <t>Evershine Enterprises</t>
  </si>
  <si>
    <t>Excellent Engineering Enterprises</t>
  </si>
  <si>
    <t>Excellent Traders</t>
  </si>
  <si>
    <t>Fabtex Engineering Works</t>
  </si>
  <si>
    <t>Fahi Q Innovation</t>
  </si>
  <si>
    <t>Fairdeal Industrial Suppliers</t>
  </si>
  <si>
    <t>GEM TRADING CORPORATION</t>
  </si>
  <si>
    <t>General Industrial Suppliers</t>
  </si>
  <si>
    <t>GIS Engineering Co</t>
  </si>
  <si>
    <t>GOOD LUCK INDUSTRIALS ACCESSORIES</t>
  </si>
  <si>
    <t>Hardware Tools &amp; Machinery Mart</t>
  </si>
  <si>
    <t>HARIBHAVANAM RESTAURANTS INDIA PRIVATE LIMITED</t>
  </si>
  <si>
    <t>Hatimi Enterprise</t>
  </si>
  <si>
    <t>HINDUSTAN AUTOMATIONS</t>
  </si>
  <si>
    <t>Hirani Hardware</t>
  </si>
  <si>
    <t>Hitech Engineering Works</t>
  </si>
  <si>
    <t>IAMAX Precision India Pvt Ltd</t>
  </si>
  <si>
    <t>IES AGENCIES</t>
  </si>
  <si>
    <t>IMANI AND CO</t>
  </si>
  <si>
    <t>IMEC DZIGN ENTERPRISE PRIVATE LIMITED</t>
  </si>
  <si>
    <t>Integrated Pacline India Private Limited</t>
  </si>
  <si>
    <t>IntegratedConveyors&amp;PaclineAutomationTechnologies</t>
  </si>
  <si>
    <t>JS ENTERPRISES L1Z7</t>
  </si>
  <si>
    <t>Kapadiya Tools Syndicate</t>
  </si>
  <si>
    <t>KOMARLA HATCHERIES</t>
  </si>
  <si>
    <t>KRP ENGINEERING WORKS</t>
  </si>
  <si>
    <t>Lemniscate Associates</t>
  </si>
  <si>
    <t>M K Hardware</t>
  </si>
  <si>
    <t>Magnic Technologies Pvt Ltd</t>
  </si>
  <si>
    <t>Maimoon Industrial Suppliers</t>
  </si>
  <si>
    <t>Martin Traders</t>
  </si>
  <si>
    <t>MB Tools Corporation</t>
  </si>
  <si>
    <t>Meem Bay Enterprises</t>
  </si>
  <si>
    <t>Modern Enterprises</t>
  </si>
  <si>
    <t>MS Trading Company</t>
  </si>
  <si>
    <t>NAAMAKKAL CONSTRUCTIONS</t>
  </si>
  <si>
    <t>NANDA FEEDS PRIVATE LIMITED</t>
  </si>
  <si>
    <t>Nandhu Coats</t>
  </si>
  <si>
    <t>NATIONAL ELECTRO ENGINEERING</t>
  </si>
  <si>
    <t>Noor Enterprises</t>
  </si>
  <si>
    <t>Noor Traders</t>
  </si>
  <si>
    <t>Orient Enterprises</t>
  </si>
  <si>
    <t>Pavithra and Co</t>
  </si>
  <si>
    <t>Perfect Industrial Suppliers</t>
  </si>
  <si>
    <t>Pioneer Engineering</t>
  </si>
  <si>
    <t>Popular Engineering Stores</t>
  </si>
  <si>
    <t>PRESSANA MOTORS</t>
  </si>
  <si>
    <t>PRESSANA POULTRY FARMS</t>
  </si>
  <si>
    <t>Prime Trading Company</t>
  </si>
  <si>
    <t>PRITAM SAI ASSOCIATE</t>
  </si>
  <si>
    <t>PRS AGENCIES</t>
  </si>
  <si>
    <t>PSG COLLEGE OF ARTS AND SCIENCE</t>
  </si>
  <si>
    <t>PSG INSTITUTE OF MANAGEMENT-GENERAL</t>
  </si>
  <si>
    <t>Quadari Enterprises</t>
  </si>
  <si>
    <t>Rajkumar &amp; Co</t>
  </si>
  <si>
    <t>ROYAL TOOLS CORPORATION</t>
  </si>
  <si>
    <t>S to Z Traders</t>
  </si>
  <si>
    <t>S.A. Traders</t>
  </si>
  <si>
    <t>Safeboy Safety Solutions</t>
  </si>
  <si>
    <t>Saif Industrial Supply Co</t>
  </si>
  <si>
    <t>Saif Tools &amp; Machineries</t>
  </si>
  <si>
    <t>Salem Pipe Traders</t>
  </si>
  <si>
    <t>SAMRAT TOOLS CENTRE</t>
  </si>
  <si>
    <t>SANAA ENTERPRISES</t>
  </si>
  <si>
    <t>Sangamam Agencies</t>
  </si>
  <si>
    <t>Sardha Enterprises</t>
  </si>
  <si>
    <t>Sarral Irrigations</t>
  </si>
  <si>
    <t>Sekar Engineering Works</t>
  </si>
  <si>
    <t>Selvakumar Pipes &amp; Fittings Company</t>
  </si>
  <si>
    <t>SHABIS ENTERPRISES</t>
  </si>
  <si>
    <t>SHAJI'S ENGINEERING INDUSTRIES</t>
  </si>
  <si>
    <t>SHANTHI ELECTRICALS AND HARDWARES</t>
  </si>
  <si>
    <t>SHIBAM ENGINEERING &amp; PNEUMATICS</t>
  </si>
  <si>
    <t>SHIVAM TRADERS</t>
  </si>
  <si>
    <t>SK SHRI KUMARAN ELECTRICALS LIGHTS AND PLUMBING</t>
  </si>
  <si>
    <t>South Coast Enterprises</t>
  </si>
  <si>
    <t>South India Trading Agencies</t>
  </si>
  <si>
    <t>South India Trading Company</t>
  </si>
  <si>
    <t>Sri Krishna Wire Netting Company</t>
  </si>
  <si>
    <t>Sri Meenakshi Hardware and Tools</t>
  </si>
  <si>
    <t>SRI VIGNESWARAN AAGENCIES</t>
  </si>
  <si>
    <t>SSTG TECHNOLOGIES INDIA PRIVATE LIMITED</t>
  </si>
  <si>
    <t>SUN FORGINGS</t>
  </si>
  <si>
    <t>Taher Enterprises</t>
  </si>
  <si>
    <t>TAHERI HARDWARE MART</t>
  </si>
  <si>
    <t>TAHERI TOOLS AND MACHINERY STORES</t>
  </si>
  <si>
    <t>Tee Y Lifting Solutions</t>
  </si>
  <si>
    <t>TOOLCOM INNOVATIVE SOLUTIONS PRIVATE LIMITED</t>
  </si>
  <si>
    <t>TOTAR FABS ENI PRIVATE LIMITED</t>
  </si>
  <si>
    <t>Triumph Trading Company</t>
  </si>
  <si>
    <t>TRUE VALUE SHOES AND SAFETY</t>
  </si>
  <si>
    <t>Union Enterprises</t>
  </si>
  <si>
    <t>Unique Wire Ropes &amp; Tackles</t>
  </si>
  <si>
    <t>Universal Hardware &amp; Tools Corp</t>
  </si>
  <si>
    <t>Universal Machinery and Hardware Mart</t>
  </si>
  <si>
    <t>V Guard Industries Ltd (EMW)</t>
  </si>
  <si>
    <t>Velavan Mill Store</t>
  </si>
  <si>
    <t>VME PRECAST PRODUCTS</t>
  </si>
  <si>
    <t>Y M Tools Traders</t>
  </si>
  <si>
    <t>Bill-wise Receivables</t>
  </si>
  <si>
    <t>Days Since Due uses TODAY() and updates whenever Excel recalculates. Negative values indicate a future due date.</t>
  </si>
  <si>
    <t>Bill Number</t>
  </si>
  <si>
    <t>Bill Date</t>
  </si>
  <si>
    <t>Bill Value</t>
  </si>
  <si>
    <t>Due Date</t>
  </si>
  <si>
    <t>Days Since Due</t>
  </si>
  <si>
    <t>Company Total</t>
  </si>
  <si>
    <t>NA/1777/26-27</t>
  </si>
  <si>
    <t>NA/1796/26-27</t>
  </si>
  <si>
    <t>NA/1802/26-27</t>
  </si>
  <si>
    <t>NA/1815/26-27</t>
  </si>
  <si>
    <t>NA/1846/26-27</t>
  </si>
  <si>
    <t>NA/1866/26-27</t>
  </si>
  <si>
    <t>NA/1522/26-27</t>
  </si>
  <si>
    <t>NA/1901/26-27</t>
  </si>
  <si>
    <t>NA/1505/26-27</t>
  </si>
  <si>
    <t>NA/1632/26-27</t>
  </si>
  <si>
    <t>NA/1761/26-27</t>
  </si>
  <si>
    <t>NA/1810/26-27</t>
  </si>
  <si>
    <t>NA/1890/26-27</t>
  </si>
  <si>
    <t>NA/1577/26-27</t>
  </si>
  <si>
    <t>NA/0841/26-27</t>
  </si>
  <si>
    <t>NA/5582/25-26</t>
  </si>
  <si>
    <t>NA/5695/25-26</t>
  </si>
  <si>
    <t>NA/0064/26-27</t>
  </si>
  <si>
    <t>NA/0323/26-27</t>
  </si>
  <si>
    <t>NA/0613/26-27</t>
  </si>
  <si>
    <t>NA/0830/26-27</t>
  </si>
  <si>
    <t>NA/0966/26-27</t>
  </si>
  <si>
    <t>NA/1340/26-27</t>
  </si>
  <si>
    <t>NA/1638/26-27</t>
  </si>
  <si>
    <t>NA/1812/26-27</t>
  </si>
  <si>
    <t>NA/1897/26-27</t>
  </si>
  <si>
    <t>NA/4218/25-26</t>
  </si>
  <si>
    <t>NA/4478/25-26</t>
  </si>
  <si>
    <t>NA/0175/26-27</t>
  </si>
  <si>
    <t>NA/1428/26-27</t>
  </si>
  <si>
    <t>NA/1633/26-27</t>
  </si>
  <si>
    <t>NA/1149/26-27</t>
  </si>
  <si>
    <t>NA/1383/26-27</t>
  </si>
  <si>
    <t>NA/1716/26-27</t>
  </si>
  <si>
    <t>NA/1870/26-27</t>
  </si>
  <si>
    <t>NA/1674/26-27</t>
  </si>
  <si>
    <t>NA/1683/26-27</t>
  </si>
  <si>
    <t>NA/1756/26-27</t>
  </si>
  <si>
    <t>NA/4570/25-26</t>
  </si>
  <si>
    <t>NA/5030/25-26</t>
  </si>
  <si>
    <t>NA/0179/26-27</t>
  </si>
  <si>
    <t>NA/0201/26-27</t>
  </si>
  <si>
    <t>NA/0418/26-27</t>
  </si>
  <si>
    <t>NA/0554/26-27</t>
  </si>
  <si>
    <t>NA/1663/26-27</t>
  </si>
  <si>
    <t>NA/0122/26-27</t>
  </si>
  <si>
    <t>NA/1483/26-27</t>
  </si>
  <si>
    <t>NA/1581/26-27</t>
  </si>
  <si>
    <t>NA/1582/26-27</t>
  </si>
  <si>
    <t>NA/1673/26-27</t>
  </si>
  <si>
    <t>NA/1715/26-27</t>
  </si>
  <si>
    <t>NA/1718/26-27</t>
  </si>
  <si>
    <t>NA/1759/26-27</t>
  </si>
  <si>
    <t>NA/1665/26-27</t>
  </si>
  <si>
    <t>NA/1728/26-27</t>
  </si>
  <si>
    <t>NA/1748/26-27</t>
  </si>
  <si>
    <t>NA/1478/26-27</t>
  </si>
  <si>
    <t>NA/0020/26-27</t>
  </si>
  <si>
    <t>NA/0185/26-27</t>
  </si>
  <si>
    <t>NA/0194/26-27</t>
  </si>
  <si>
    <t>NA/0203/26-27</t>
  </si>
  <si>
    <t>NA/0212/26-27</t>
  </si>
  <si>
    <t>NA/0217/26-27</t>
  </si>
  <si>
    <t>NA/1243/26-27</t>
  </si>
  <si>
    <t>NA/0051/26-27</t>
  </si>
  <si>
    <t>NA/0151/26-27</t>
  </si>
  <si>
    <t>NA/0330/26-27</t>
  </si>
  <si>
    <t>NA/0412/26-27</t>
  </si>
  <si>
    <t>NA/0419/26-27</t>
  </si>
  <si>
    <t>NA/0617/26-27</t>
  </si>
  <si>
    <t>NA/0730/26-27</t>
  </si>
  <si>
    <t>NA/0749/26-27</t>
  </si>
  <si>
    <t>NA/0959/26-27</t>
  </si>
  <si>
    <t>NA/0987/26-27</t>
  </si>
  <si>
    <t>NA/1115/26-27</t>
  </si>
  <si>
    <t>NA/1357/26-27</t>
  </si>
  <si>
    <t>NA/1490/26-27</t>
  </si>
  <si>
    <t>NA/1642/26-27</t>
  </si>
  <si>
    <t>NA/1887/26-27</t>
  </si>
  <si>
    <t>NA/4555/25-26</t>
  </si>
  <si>
    <t>NA/4810/25-26</t>
  </si>
  <si>
    <t>NA/4824/25-26</t>
  </si>
  <si>
    <t>NA/5147/25-26</t>
  </si>
  <si>
    <t>NA/5361/25-26</t>
  </si>
  <si>
    <t>NA/5581/25-26</t>
  </si>
  <si>
    <t>NA/5702/25-26</t>
  </si>
  <si>
    <t>NA/0325/26-27</t>
  </si>
  <si>
    <t>NA/0771/26-27</t>
  </si>
  <si>
    <t>NA/1222/26-27</t>
  </si>
  <si>
    <t>NA/1246/26-27</t>
  </si>
  <si>
    <t>NA/1468/26-27</t>
  </si>
  <si>
    <t>NA/1819/26-27</t>
  </si>
  <si>
    <t>NA/0610/26-27</t>
  </si>
  <si>
    <t>NA/0728/26-27</t>
  </si>
  <si>
    <t>NA/0831/26-27</t>
  </si>
  <si>
    <t>NA/0976/26-27</t>
  </si>
  <si>
    <t>NA/1114/26-27</t>
  </si>
  <si>
    <t>NA/1236/26-27</t>
  </si>
  <si>
    <t>NA/1367/26-27</t>
  </si>
  <si>
    <t>NA/1636/26-27</t>
  </si>
  <si>
    <t>NA/1770/26-27</t>
  </si>
  <si>
    <t>NA/1896/26-27</t>
  </si>
  <si>
    <t>NA/1820/26-27</t>
  </si>
  <si>
    <t>NA/0837/26-27</t>
  </si>
  <si>
    <t>NA/0955/26-27</t>
  </si>
  <si>
    <t>NA/1045/26-27</t>
  </si>
  <si>
    <t>NA/1118/26-27</t>
  </si>
  <si>
    <t>NA/1634/26-27</t>
  </si>
  <si>
    <t>NA/4724/25-26</t>
  </si>
  <si>
    <t>NA/4785/25-26</t>
  </si>
  <si>
    <t>NA/5046/25-26</t>
  </si>
  <si>
    <t>NA/5262/25-26</t>
  </si>
  <si>
    <t>NA/5310/25-26</t>
  </si>
  <si>
    <t>NA/5313/25-26</t>
  </si>
  <si>
    <t>NA/5474/25-26</t>
  </si>
  <si>
    <t>NA/5585/25-26</t>
  </si>
  <si>
    <t>NA/0061/26-27</t>
  </si>
  <si>
    <t>NA/0084/26-27</t>
  </si>
  <si>
    <t>NA/0168/26-27</t>
  </si>
  <si>
    <t>NA/0328/26-27</t>
  </si>
  <si>
    <t>NA/0339/26-27</t>
  </si>
  <si>
    <t>NA/0402/26-27</t>
  </si>
  <si>
    <t>NA/0499/26-27</t>
  </si>
  <si>
    <t>NA/0570/26-27</t>
  </si>
  <si>
    <t>NA/0585/26-27</t>
  </si>
  <si>
    <t>NA/0630/26-27</t>
  </si>
  <si>
    <t>NA/0724/26-27</t>
  </si>
  <si>
    <t>NA/0838/26-27</t>
  </si>
  <si>
    <t>NA/1116/26-27</t>
  </si>
  <si>
    <t>NA/1247/26-27</t>
  </si>
  <si>
    <t>NA/1358/26-27</t>
  </si>
  <si>
    <t>NA/1517/26-27</t>
  </si>
  <si>
    <t>NA/1635/26-27</t>
  </si>
  <si>
    <t>NA/1773/26-27</t>
  </si>
  <si>
    <t>NA/1889/26-27</t>
  </si>
  <si>
    <t>NA/1543/26-27</t>
  </si>
  <si>
    <t>NA/0216/26-27</t>
  </si>
  <si>
    <t>NA/0488/26-27</t>
  </si>
  <si>
    <t>NA/0562/26-27</t>
  </si>
  <si>
    <t>NA/1124/26-27</t>
  </si>
  <si>
    <t>NA/1131/26-27</t>
  </si>
  <si>
    <t>NA/1530/26-27</t>
  </si>
  <si>
    <t>NA/1570/26-27</t>
  </si>
  <si>
    <t>NA/1698/26-27</t>
  </si>
  <si>
    <t>NA/1164/26-27</t>
  </si>
  <si>
    <t>NA/1531/26-27</t>
  </si>
  <si>
    <t>NA/1747/26-27</t>
  </si>
  <si>
    <t>NA/0944/26-27</t>
  </si>
  <si>
    <t>NA/1456/26-27</t>
  </si>
  <si>
    <t>NA/1891/26-27</t>
  </si>
  <si>
    <t>NA/1600/26-27</t>
  </si>
  <si>
    <t>NA/0063/26-27</t>
  </si>
  <si>
    <t>NA/0306/26-27</t>
  </si>
  <si>
    <t>NA/0371/26-27</t>
  </si>
  <si>
    <t>NA/0471/26-27</t>
  </si>
  <si>
    <t>NA/0503/26-27</t>
  </si>
  <si>
    <t>NA/0606/26-27</t>
  </si>
  <si>
    <t>NA/0826/26-27</t>
  </si>
  <si>
    <t>NA/1015/26-27</t>
  </si>
  <si>
    <t>NA/1026/26-27</t>
  </si>
  <si>
    <t>NA/1031/26-27</t>
  </si>
  <si>
    <t>NA/1232/26-27</t>
  </si>
  <si>
    <t>NA/1365/26-27</t>
  </si>
  <si>
    <t>NA/1398/26-27</t>
  </si>
  <si>
    <t>NA/1596/26-27</t>
  </si>
  <si>
    <t>NA/1609/26-27</t>
  </si>
  <si>
    <t>NA/1695/26-27</t>
  </si>
  <si>
    <t>NA/1771/26-27</t>
  </si>
  <si>
    <t>NA/0866/26-27</t>
  </si>
  <si>
    <t>NA/0992/26-27</t>
  </si>
  <si>
    <t>NA/1073/26-27</t>
  </si>
  <si>
    <t>NA/1237/26-27</t>
  </si>
  <si>
    <t>NA/1265/26-27</t>
  </si>
  <si>
    <t>NA/1521/26-27</t>
  </si>
  <si>
    <t>NA/1542/26-27</t>
  </si>
  <si>
    <t>NA/1797/26-27</t>
  </si>
  <si>
    <t>NA/5047/25-26</t>
  </si>
  <si>
    <t>NA/1220/26-27</t>
  </si>
  <si>
    <t>NA/1880/26-27</t>
  </si>
  <si>
    <t>NA/0153/26-27</t>
  </si>
  <si>
    <t>NA/0563/26-27</t>
  </si>
  <si>
    <t>NA/1460/26-27</t>
  </si>
  <si>
    <t>NA/1859/26-27</t>
  </si>
  <si>
    <t>NA/1329/26-27</t>
  </si>
  <si>
    <t>NA/1647/26-27</t>
  </si>
  <si>
    <t>NA/1775/26-27</t>
  </si>
  <si>
    <t>NA/1650/26-27</t>
  </si>
  <si>
    <t>NA/1202/26-27</t>
  </si>
  <si>
    <t>NA/1360/26-27</t>
  </si>
  <si>
    <t>NA/1409/26-27</t>
  </si>
  <si>
    <t>NA/1498/26-27</t>
  </si>
  <si>
    <t>NA/1641/26-27</t>
  </si>
  <si>
    <t>NA/1733/26-27</t>
  </si>
  <si>
    <t>NA/1767/26-27</t>
  </si>
  <si>
    <t>NA/1894/26-27</t>
  </si>
  <si>
    <t>NA/1122/26-27</t>
  </si>
  <si>
    <t>NA/1133/26-27</t>
  </si>
  <si>
    <t>NA/1242/26-27</t>
  </si>
  <si>
    <t>NA/1359/26-27</t>
  </si>
  <si>
    <t>NA/1497/26-27</t>
  </si>
  <si>
    <t>NA/1637/26-27</t>
  </si>
  <si>
    <t>NA/1768/26-27</t>
  </si>
  <si>
    <t>NA/1893/26-27</t>
  </si>
  <si>
    <t>NA/5335/25-26</t>
  </si>
  <si>
    <t>NA/1239/26-27</t>
  </si>
  <si>
    <t>NA/1881/26-27</t>
  </si>
  <si>
    <t>NA/4094/24-25</t>
  </si>
  <si>
    <t>NA/0007/25-26</t>
  </si>
  <si>
    <t>NA/0038/25-26</t>
  </si>
  <si>
    <t>NA/0244/25-26</t>
  </si>
  <si>
    <t>NA/0394/25-26</t>
  </si>
  <si>
    <t>NA/0896/25-26</t>
  </si>
  <si>
    <t>NA/2084/25-26&lt;Auto&gt;</t>
  </si>
  <si>
    <t>NA/2165/25-26</t>
  </si>
  <si>
    <t>NA/2629/25-26</t>
  </si>
  <si>
    <t>NA/2840/25-26</t>
  </si>
  <si>
    <t>NA/2864/25-26</t>
  </si>
  <si>
    <t>NA/1526/26-27</t>
  </si>
  <si>
    <t>NA/1693/26-27</t>
  </si>
  <si>
    <t>NA/1875/26-27</t>
  </si>
  <si>
    <t>NA/0542/26-27</t>
  </si>
  <si>
    <t>NA/1167/26-27</t>
  </si>
  <si>
    <t>NA/1429/26-27</t>
  </si>
  <si>
    <t>NA/1476/26-27</t>
  </si>
  <si>
    <t>NA/0435/26-27</t>
  </si>
  <si>
    <t>NA/0682/26-27</t>
  </si>
  <si>
    <t>NA/1036/26-27</t>
  </si>
  <si>
    <t>NA/1301/26-27</t>
  </si>
  <si>
    <t>NA/1302/26-27</t>
  </si>
  <si>
    <t>NA/1805/26-27</t>
  </si>
  <si>
    <t>NA/1809/26-27</t>
  </si>
  <si>
    <t>NA/1081/26-27</t>
  </si>
  <si>
    <t>NA/1139/26-27</t>
  </si>
  <si>
    <t>NA/1155/26-27&lt;Auto&gt;</t>
  </si>
  <si>
    <t>NA/1508/26-27</t>
  </si>
  <si>
    <t>NA/1593/26-27</t>
  </si>
  <si>
    <t>NA/1666/26-27</t>
  </si>
  <si>
    <t>NA/1191/26-27</t>
  </si>
  <si>
    <t>NA/1195/26-27</t>
  </si>
  <si>
    <t>NA/1216/26-27</t>
  </si>
  <si>
    <t>NA/1281/26-27</t>
  </si>
  <si>
    <t>NA/1300/26-27</t>
  </si>
  <si>
    <t>NA/1564/26-27</t>
  </si>
  <si>
    <t>NA/1627/26-27</t>
  </si>
  <si>
    <t>NA/1702/26-27</t>
  </si>
  <si>
    <t>NA/1721/26-27</t>
  </si>
  <si>
    <t>NA/1793/26-27</t>
  </si>
  <si>
    <t>NA/2916/25-26</t>
  </si>
  <si>
    <t>NA/4769/25-26</t>
  </si>
  <si>
    <t>NA/4942/25-26</t>
  </si>
  <si>
    <t>NA/5565/25-26</t>
  </si>
  <si>
    <t>NA/0859/26-27</t>
  </si>
  <si>
    <t>NA/1192/26-27</t>
  </si>
  <si>
    <t>NA/1878/26-27</t>
  </si>
  <si>
    <t>NA/1404/26-27</t>
  </si>
  <si>
    <t>NA/1095/26-27</t>
  </si>
  <si>
    <t>NA/1879/26-27</t>
  </si>
  <si>
    <t>NA/0671/26-27</t>
  </si>
  <si>
    <t>NA/0879/26-27</t>
  </si>
  <si>
    <t>NA/1007/26-27</t>
  </si>
  <si>
    <t>NA/1366/26-27</t>
  </si>
  <si>
    <t>NA/1588/26-27</t>
  </si>
  <si>
    <t>NA/1818/26-27</t>
  </si>
  <si>
    <t>NA/1411/26-27</t>
  </si>
  <si>
    <t>NA/3072/25-26</t>
  </si>
  <si>
    <t>NA/1038/26-27</t>
  </si>
  <si>
    <t>NA/1221/26-27</t>
  </si>
  <si>
    <t>NA/1285/26-27</t>
  </si>
  <si>
    <t>NA/0414/26-27</t>
  </si>
  <si>
    <t>NA/0443/26-27</t>
  </si>
  <si>
    <t>NA/0504/26-27</t>
  </si>
  <si>
    <t>NA/0547/26-27</t>
  </si>
  <si>
    <t>NA/0725/26-27</t>
  </si>
  <si>
    <t>NA/0834/26-27</t>
  </si>
  <si>
    <t>NA/0927/26-27</t>
  </si>
  <si>
    <t>NA/0967/26-27</t>
  </si>
  <si>
    <t>NA/1119/26-27</t>
  </si>
  <si>
    <t>NA/1572/26-27</t>
  </si>
  <si>
    <t>NA/1691/26-27</t>
  </si>
  <si>
    <t>NA/0296/26-27</t>
  </si>
  <si>
    <t>NA/1839/26-27</t>
  </si>
  <si>
    <t>NA/1882/26-27</t>
  </si>
  <si>
    <t>NA/0978/26-27</t>
  </si>
  <si>
    <t>NA/1113/26-27</t>
  </si>
  <si>
    <t>NA/1233/26-27</t>
  </si>
  <si>
    <t>NA/1493/26-27</t>
  </si>
  <si>
    <t>NA/1569/26-27</t>
  </si>
  <si>
    <t>NA/1883/26-27</t>
  </si>
  <si>
    <t>NA/0958/26-27</t>
  </si>
  <si>
    <t>NA/0287/26-27</t>
  </si>
  <si>
    <t>NA/0476/26-27</t>
  </si>
  <si>
    <t>NA/0925/26-27</t>
  </si>
  <si>
    <t>NA/1154/26-27</t>
  </si>
  <si>
    <t>NA/1309/26-27</t>
  </si>
  <si>
    <t>NA/0001/26-27</t>
  </si>
  <si>
    <t>NA/0508/26-27</t>
  </si>
  <si>
    <t>NA/0842/26-27</t>
  </si>
  <si>
    <t>NA/0851/26-27</t>
  </si>
  <si>
    <t>NA/1454/26-27</t>
  </si>
  <si>
    <t>NA/1606/26-27</t>
  </si>
  <si>
    <t>NA/1286/26-27</t>
  </si>
  <si>
    <t>NA/1117/26-27</t>
  </si>
  <si>
    <t>NA/1244/26-27</t>
  </si>
  <si>
    <t>NA/0601/26-27</t>
  </si>
  <si>
    <t>NA/1198/26-27</t>
  </si>
  <si>
    <t>NA/1253/26-27</t>
  </si>
  <si>
    <t>NA/1331/26-27</t>
  </si>
  <si>
    <t>NA/1332/26-27</t>
  </si>
  <si>
    <t>NA/1238/26-27</t>
  </si>
  <si>
    <t>NA/1259/26-27</t>
  </si>
  <si>
    <t>NA/1364/26-27</t>
  </si>
  <si>
    <t>NA/1496/26-27</t>
  </si>
  <si>
    <t>NA/1774/26-27</t>
  </si>
  <si>
    <t>NA/1754/26-27</t>
  </si>
  <si>
    <t>NA/0627/26-27</t>
  </si>
  <si>
    <t>NA/1611/26-27</t>
  </si>
  <si>
    <t>NA/1610/26-27</t>
  </si>
  <si>
    <t>NA/1657/25-26</t>
  </si>
  <si>
    <t>NA/1845/25-26</t>
  </si>
  <si>
    <t>NA/2215/25-26</t>
  </si>
  <si>
    <t>NA/2331/25-26</t>
  </si>
  <si>
    <t>NA/3332/25-26</t>
  </si>
  <si>
    <t>NA/3836/25-26</t>
  </si>
  <si>
    <t>NA/4974/25-26</t>
  </si>
  <si>
    <t>NA/5315/25-26</t>
  </si>
  <si>
    <t>NA/5368/25-26</t>
  </si>
  <si>
    <t>NA/5417/25-26</t>
  </si>
  <si>
    <t>NA/5690/25-26</t>
  </si>
  <si>
    <t>NA/0332/26-27</t>
  </si>
  <si>
    <t>NA/0539/26-27</t>
  </si>
  <si>
    <t>NA/1276/26-27</t>
  </si>
  <si>
    <t>NA/1435/26-27</t>
  </si>
  <si>
    <t>NA/1629/26-27</t>
  </si>
  <si>
    <t>NA/1899/26-27</t>
  </si>
  <si>
    <t>NA/0896/26-27</t>
  </si>
  <si>
    <t>NA/0968/26-27</t>
  </si>
  <si>
    <t>NA/1029/26-27</t>
  </si>
  <si>
    <t>NA/1098/26-27</t>
  </si>
  <si>
    <t>NA/1245/26-27</t>
  </si>
  <si>
    <t>NA/1362/26-27</t>
  </si>
  <si>
    <t>NA/1500/26-27</t>
  </si>
  <si>
    <t>NA/1631/26-27</t>
  </si>
  <si>
    <t>NA/1762/26-27</t>
  </si>
  <si>
    <t>NA/1886/26-27</t>
  </si>
  <si>
    <t>NA/1831/26-27</t>
  </si>
  <si>
    <t>NA/0067/26-27</t>
  </si>
  <si>
    <t>NA/0409/26-27</t>
  </si>
  <si>
    <t>NA/0433/26-27</t>
  </si>
  <si>
    <t>NA/0548/26-27</t>
  </si>
  <si>
    <t>NA/0596/26-27</t>
  </si>
  <si>
    <t>NA/0963/26-27</t>
  </si>
  <si>
    <t>NA/1444/26-27</t>
  </si>
  <si>
    <t>NA/1532/26-27</t>
  </si>
  <si>
    <t>NA/1685/26-27</t>
  </si>
  <si>
    <t>NA/1717/26-27</t>
  </si>
  <si>
    <t>NA/1851/26-27</t>
  </si>
  <si>
    <t>NA/1876/26-27</t>
  </si>
  <si>
    <t>NA/1188/26-27</t>
  </si>
  <si>
    <t>NA/1406/26-27</t>
  </si>
  <si>
    <t>NA/1306/26-27</t>
  </si>
  <si>
    <t>NA/0150/26-27</t>
  </si>
  <si>
    <t>NA/0285/26-27</t>
  </si>
  <si>
    <t>NA/0300/26-27</t>
  </si>
  <si>
    <t>NA/0344/26-27</t>
  </si>
  <si>
    <t>NA/0385/26-27</t>
  </si>
  <si>
    <t>NA/0710/26-27</t>
  </si>
  <si>
    <t>NA/0888/26-27</t>
  </si>
  <si>
    <t>NA/0929/26-27</t>
  </si>
  <si>
    <t>NA/1030/26-27</t>
  </si>
  <si>
    <t>NA/1752/26-27</t>
  </si>
  <si>
    <t>NA/0100/26-27</t>
  </si>
  <si>
    <t>NA/1567/26-27</t>
  </si>
  <si>
    <t>NA/1587/26-27</t>
  </si>
  <si>
    <t>NA/1608/26-27</t>
  </si>
  <si>
    <t>NA/1888/26-27</t>
  </si>
  <si>
    <t>NA/1076/26-27</t>
  </si>
  <si>
    <t>NA/1181/26-27</t>
  </si>
  <si>
    <t>NA/0678/26-27</t>
  </si>
  <si>
    <t>NA/1837/26-27</t>
  </si>
  <si>
    <t>NA/1028/26-27</t>
  </si>
  <si>
    <t>NA/1750/26-27</t>
  </si>
  <si>
    <t>NA/5685/25-26</t>
  </si>
  <si>
    <t>NA/0849/26-27</t>
  </si>
  <si>
    <t>NA/0980/26-27</t>
  </si>
  <si>
    <t>NA/1234/26-27</t>
  </si>
  <si>
    <t>NA/1281/25-26</t>
  </si>
  <si>
    <t>NA/1488/25-26</t>
  </si>
  <si>
    <t>NA/1600/25-26</t>
  </si>
  <si>
    <t>NA/1980/25-26</t>
  </si>
  <si>
    <t>NA/2544/25-26</t>
  </si>
  <si>
    <t>NA/2545/25-26</t>
  </si>
  <si>
    <t>NA/2603/25-26</t>
  </si>
  <si>
    <t>NA/2705/25-26</t>
  </si>
  <si>
    <t>NA/5599/25-26</t>
  </si>
  <si>
    <t>NA/1898/26-27</t>
  </si>
  <si>
    <t>NA/1399/26-27</t>
  </si>
  <si>
    <t>NA/1412/26-27</t>
  </si>
  <si>
    <t>NA/1421/26-27</t>
  </si>
  <si>
    <t>NA/1704/26-27</t>
  </si>
  <si>
    <t>NA/1832/26-27</t>
  </si>
  <si>
    <t>NA/1376/26-27</t>
  </si>
  <si>
    <t>NA/0858/26-27</t>
  </si>
  <si>
    <t>NA/1457/26-27</t>
  </si>
  <si>
    <t>NA/5701/25-26</t>
  </si>
  <si>
    <t>NA/0065/26-27</t>
  </si>
  <si>
    <t>NA/0329/26-27</t>
  </si>
  <si>
    <t>NA/0410/26-27</t>
  </si>
  <si>
    <t>NA/0732/26-27</t>
  </si>
  <si>
    <t>NA/1248/26-27</t>
  </si>
  <si>
    <t>NA/1598/26-27</t>
  </si>
  <si>
    <t>NA/1640/26-27</t>
  </si>
  <si>
    <t>NA/1769/26-27</t>
  </si>
  <si>
    <t>NA/1884/26-27</t>
  </si>
  <si>
    <t>NA/0361/26-27</t>
  </si>
  <si>
    <t>NA/1525/26-27</t>
  </si>
  <si>
    <t>NA/0557/26-27</t>
  </si>
  <si>
    <t>NA/1451/26-27</t>
  </si>
  <si>
    <t>NA/1442/26-27</t>
  </si>
  <si>
    <t>NA/2883/25-26</t>
  </si>
  <si>
    <t>NA/3018/25-26</t>
  </si>
  <si>
    <t>NA/3121/25-26</t>
  </si>
  <si>
    <t>NA/3476/25-26</t>
  </si>
  <si>
    <t>NA/3960/25-26</t>
  </si>
  <si>
    <t>NA/4185/25-26</t>
  </si>
  <si>
    <t>NA/4198/25-26</t>
  </si>
  <si>
    <t>NA/4709/25-26</t>
  </si>
  <si>
    <t>NA/4726/25-26</t>
  </si>
  <si>
    <t>NA/4742/25-26</t>
  </si>
  <si>
    <t>NA/4811/25-26</t>
  </si>
  <si>
    <t>NA/5150/25-26</t>
  </si>
  <si>
    <t>NA/5246/25-26</t>
  </si>
  <si>
    <t>NA/5276/25-26</t>
  </si>
  <si>
    <t>NA/5505/25-26</t>
  </si>
  <si>
    <t>NA/5584/25-26</t>
  </si>
  <si>
    <t>NA/0080/26-27</t>
  </si>
  <si>
    <t>NA/0097/26-27</t>
  </si>
  <si>
    <t>NA/0729/26-27</t>
  </si>
  <si>
    <t>NA/1042/26-27</t>
  </si>
  <si>
    <t>NA/1262/26-27</t>
  </si>
  <si>
    <t>NA/1369/26-27</t>
  </si>
  <si>
    <t>NA/1513/26-27</t>
  </si>
  <si>
    <t>NA/1585/26-27</t>
  </si>
  <si>
    <t>NA/1865/26-27</t>
  </si>
  <si>
    <t>NA/1178/26-27</t>
  </si>
  <si>
    <t>NA/5225/25-26</t>
  </si>
  <si>
    <t>NA/5233/25-26</t>
  </si>
  <si>
    <t>NA/5322/25-26</t>
  </si>
  <si>
    <t>NA/5384/25-26</t>
  </si>
  <si>
    <t>NA/5429/25-26</t>
  </si>
  <si>
    <t>NA/5460/25-26</t>
  </si>
  <si>
    <t>NA/5517/25-26</t>
  </si>
  <si>
    <t>NA/5538/25-26</t>
  </si>
  <si>
    <t>NA/5630/25-26</t>
  </si>
  <si>
    <t>NA/5644/25-26</t>
  </si>
  <si>
    <t>NA/5708/25-26</t>
  </si>
  <si>
    <t>NA/0648/26-27</t>
  </si>
  <si>
    <t>NA/0721/26-27</t>
  </si>
  <si>
    <t>NA/0876/26-27</t>
  </si>
  <si>
    <t>NA/1016/26-27</t>
  </si>
  <si>
    <t>NA/1056/26-27</t>
  </si>
  <si>
    <t>NA/1271/26-27</t>
  </si>
  <si>
    <t>NA/1287/26-27</t>
  </si>
  <si>
    <t>NA/1298/26-27</t>
  </si>
  <si>
    <t>NA/1450/26-27</t>
  </si>
  <si>
    <t>NA/1474/26-27</t>
  </si>
  <si>
    <t>NA/1573/26-27</t>
  </si>
  <si>
    <t>NA/1659/26-27</t>
  </si>
  <si>
    <t>NA/1743/26-27</t>
  </si>
  <si>
    <t>NA/1885/26-27</t>
  </si>
  <si>
    <t>NA/5277/25-26</t>
  </si>
  <si>
    <t>NA/5427/25-26</t>
  </si>
  <si>
    <t>NA/0193/26-27</t>
  </si>
  <si>
    <t>NA/1000/26-27</t>
  </si>
  <si>
    <t>NA/1368/26-27</t>
  </si>
  <si>
    <t>NA/1386/26-27</t>
  </si>
  <si>
    <t>NA/1678/26-27</t>
  </si>
  <si>
    <t>NA/0796/26-27</t>
  </si>
  <si>
    <t>NA/0741/26-27</t>
  </si>
  <si>
    <t>NA/0868/26-27</t>
  </si>
  <si>
    <t>NA/0991/26-27</t>
  </si>
  <si>
    <t>NA/1203/26-27</t>
  </si>
  <si>
    <t>NA/1347/26-27</t>
  </si>
  <si>
    <t>NA/1548/26-27</t>
  </si>
  <si>
    <t>NA/1714/26-27</t>
  </si>
  <si>
    <t>NA/1299/26-27</t>
  </si>
  <si>
    <t>NA/1418/26-27</t>
  </si>
  <si>
    <t>NA/1482/26-27</t>
  </si>
  <si>
    <t>NA/1241/26-27</t>
  </si>
  <si>
    <t>NA/1361/26-27</t>
  </si>
  <si>
    <t>NA/1492/26-27</t>
  </si>
  <si>
    <t>NA/1722/26-27</t>
  </si>
  <si>
    <t>NA/1791/26-27</t>
  </si>
  <si>
    <t>NA/1895/26-27</t>
  </si>
  <si>
    <t>NA/5135/25-26</t>
  </si>
  <si>
    <t>NA/5156/25-26</t>
  </si>
  <si>
    <t>NA/5208/25-26</t>
  </si>
  <si>
    <t>NA/5224/25-26</t>
  </si>
  <si>
    <t>NA/5226/25-26</t>
  </si>
  <si>
    <t>NA/5250/25-26</t>
  </si>
  <si>
    <t>NA/5300/25-26</t>
  </si>
  <si>
    <t>NA/0865/26-27</t>
  </si>
  <si>
    <t>NA/0886/26-27</t>
  </si>
  <si>
    <t>NA/1151/26-27</t>
  </si>
  <si>
    <t>NA/1227/26-27</t>
  </si>
  <si>
    <t>NA/1258/26-27</t>
  </si>
  <si>
    <t>NA/1410/26-27</t>
  </si>
  <si>
    <t>NA/1480/26-27</t>
  </si>
  <si>
    <t>NA/1661/26-27</t>
  </si>
  <si>
    <t>NA/1690/26-27</t>
  </si>
  <si>
    <t>NA/1467/26-27</t>
  </si>
  <si>
    <t>NA/1834/26-27</t>
  </si>
  <si>
    <t>NA/5067/25-26</t>
  </si>
  <si>
    <t>NA/5388/25-26</t>
  </si>
  <si>
    <t>NA/0069/26-27</t>
  </si>
  <si>
    <t>NA/0356/26-27</t>
  </si>
  <si>
    <t>NA/0411/26-27</t>
  </si>
  <si>
    <t>NA/0591/26-27</t>
  </si>
  <si>
    <t>NA/0652/26-27</t>
  </si>
  <si>
    <t>NA/0735/26-27</t>
  </si>
  <si>
    <t>NA/0736/26-27</t>
  </si>
  <si>
    <t>NA/0751/26-27</t>
  </si>
  <si>
    <t>NA/0811/26-27</t>
  </si>
  <si>
    <t>NA/0913/26-27</t>
  </si>
  <si>
    <t>NA/1061/26-27</t>
  </si>
  <si>
    <t>NA/1136/26-27</t>
  </si>
  <si>
    <t>NA/1283/26-27</t>
  </si>
  <si>
    <t>NA/1372/26-27</t>
  </si>
  <si>
    <t>NA/1772/26-27</t>
  </si>
  <si>
    <t>NA/1900/26-27</t>
  </si>
  <si>
    <t>NA/0962/26-27</t>
  </si>
  <si>
    <t>NA/1121/26-27</t>
  </si>
  <si>
    <t>NA/1363/26-27</t>
  </si>
  <si>
    <t>NA/1407/26-27</t>
  </si>
  <si>
    <t>NA/1501/26-27</t>
  </si>
  <si>
    <t>NA/1463/26-27</t>
  </si>
  <si>
    <t>NA/2542/25-26</t>
  </si>
  <si>
    <t>NA/3775/25-26</t>
  </si>
  <si>
    <t>NA/1318/26-27</t>
  </si>
  <si>
    <t>NA/1319/26-27</t>
  </si>
  <si>
    <t>NA/1377/26-27</t>
  </si>
  <si>
    <t>NA/1487/26-27</t>
  </si>
  <si>
    <t>NA/1550/26-27</t>
  </si>
  <si>
    <t>NA/1551/26-27</t>
  </si>
  <si>
    <t>NA/1672/26-27</t>
  </si>
  <si>
    <t>NA/1705/26-27</t>
  </si>
  <si>
    <t>NA/1746/26-27</t>
  </si>
  <si>
    <t>NA/1760/26-27</t>
  </si>
  <si>
    <t>NA/1857/26-27</t>
  </si>
  <si>
    <t>NA/1858/26-27</t>
  </si>
  <si>
    <t>NA/1869/26-27</t>
  </si>
  <si>
    <t>NA/4314/25-26</t>
  </si>
  <si>
    <t>NA/1006/26-27</t>
  </si>
  <si>
    <t>NA/1067/26-27</t>
  </si>
  <si>
    <t>NA/1554/26-27</t>
  </si>
  <si>
    <t>NA/1753/26-27</t>
  </si>
  <si>
    <t>NA/1847/26-27</t>
  </si>
  <si>
    <t>NA/1854/26-27</t>
  </si>
  <si>
    <t>NA/1540/26-27</t>
  </si>
  <si>
    <t>NA/1892/26-27</t>
  </si>
  <si>
    <t>Date-wise Receivables</t>
  </si>
  <si>
    <t>Bills are sorted from oldest bill date to newest. Days Since Due updates automatically using TODAY().</t>
  </si>
  <si>
    <t>Workbook Checks</t>
  </si>
  <si>
    <t>Check</t>
  </si>
  <si>
    <t>Workbook Value</t>
  </si>
  <si>
    <t>Source Value</t>
  </si>
  <si>
    <t>Status</t>
  </si>
  <si>
    <t>Total receivables</t>
  </si>
  <si>
    <t>Bill count</t>
  </si>
  <si>
    <t>Company count</t>
  </si>
  <si>
    <t>MODEL STATUS</t>
  </si>
  <si>
    <t>Source Notes</t>
  </si>
  <si>
    <t>Source File</t>
  </si>
  <si>
    <t>Report</t>
  </si>
  <si>
    <t>Report Period</t>
  </si>
  <si>
    <t>PDF Pages</t>
  </si>
  <si>
    <t>Extraction Note</t>
  </si>
  <si>
    <t>RECIEVABLES.pdf</t>
  </si>
  <si>
    <t>Bills Receivable</t>
  </si>
  <si>
    <t>1-Apr-2024 to 1-Aug-2026</t>
  </si>
  <si>
    <t>559 bill rows extracted; total reconciled to printed final total of ₹41,14,814.</t>
  </si>
  <si>
    <t>The workbook includes alphabetical company views and a separate Date Wise view. Aging formulas use TODAY() and update daily when Excel recalculates.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</si>
</sst>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[$₹-4009]#,##0.00;[Red]\([$₹-4009]#,##0.00\);\-"/>
    <numFmt numFmtId="166" formatCode="[$₹-4009]#,##0.00"/>
  </numFmts>
  <fonts count="5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i/>
      <sz val="11"/>
      <color rgb="FF667085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EAF4F4"/>
      </patternFill>
    </fill>
    <fill>
      <patternFill patternType="solid">
        <fgColor rgb="FFE2F0D9"/>
      </patternFill>
    </fill>
  </fills>
  <borders count="7"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2" fillId="6" borderId="0" xfId="0" applyFont="1" applyFill="1"/>
    <xf numFmtId="166" fontId="0" fillId="0" borderId="0" xfId="0" applyNumberFormat="1"/>
    <xf numFmtId="0" fontId="1" fillId="2" borderId="0" xfId="0" applyFont="1" applyFill="1" applyAlignment="1">
      <alignment vertical="center"/>
    </xf>
    <xf numFmtId="0" fontId="4" fillId="5" borderId="0" xfId="0" applyFont="1" applyFill="1"/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eWiseTable" displayName="DateWiseTable" ref="A4:G563" totalsRowShown="0">
  <tableColumns count="7">
    <tableColumn id="1" xr3:uid="{00000000-0010-0000-0200-000001000000}" name="Bill Date"/>
    <tableColumn id="2" xr3:uid="{00000000-0010-0000-0200-000002000000}" name="Company"/>
    <tableColumn id="3" xr3:uid="{00000000-0010-0000-0200-000003000000}" name="Bill Number"/>
    <tableColumn id="4" xr3:uid="{00000000-0010-0000-0200-000004000000}" name="Bill Value"/>
    <tableColumn id="5" xr3:uid="{00000000-0010-0000-0200-000005000000}" name="Due Date"/>
    <tableColumn id="6" xr3:uid="{00000000-0010-0000-0200-000006000000}" name="Days Since Due"/>
    <tableColumn id="7" xr3:uid="{00000000-0010-0000-0200-000007000000}" name="Company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llDetailsTable" displayName="BillDetailsTable" ref="A4:G563" totalsRowShown="0">
  <tableColumns count="7">
    <tableColumn id="1" xr3:uid="{00000000-0010-0000-0100-000001000000}" name="Company"/>
    <tableColumn id="2" xr3:uid="{00000000-0010-0000-0100-000002000000}" name="Bill Number"/>
    <tableColumn id="3" xr3:uid="{00000000-0010-0000-0100-000003000000}" name="Bill Date"/>
    <tableColumn id="4" xr3:uid="{00000000-0010-0000-0100-000004000000}" name="Bill Value"/>
    <tableColumn id="5" xr3:uid="{00000000-0010-0000-0100-000005000000}" name="Due Date"/>
    <tableColumn id="6" xr3:uid="{00000000-0010-0000-0100-000006000000}" name="Days Since Due"/>
    <tableColumn id="7" xr3:uid="{00000000-0010-0000-0100-000007000000}" name="Company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nySummaryTable" displayName="CompanySummaryTable" ref="A5:E134" totalsRowShown="0">
  <tableColumns count="5">
    <tableColumn id="1" xr3:uid="{00000000-0010-0000-0000-000001000000}" name="Company"/>
    <tableColumn id="2" xr3:uid="{00000000-0010-0000-0000-000002000000}" name="Bill Count"/>
    <tableColumn id="3" xr3:uid="{00000000-0010-0000-0000-000003000000}" name="Total Receivable"/>
    <tableColumn id="4" xr3:uid="{00000000-0010-0000-0000-000004000000}" name="Oldest Due Date"/>
    <tableColumn id="5" xr3:uid="{00000000-0010-0000-0000-000005000000}" name="Max Days Since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3"/>
  <sheetViews>
    <sheetView showGridLines="0" tabSelected="1" topLeftCell="A441" workbookViewId="0">
      <selection sqref="A1:G1"/>
    </sheetView>
  </sheetViews>
  <sheetFormatPr defaultRowHeight="13.8"/>
  <cols>
    <col min="1" max="1" width="14" customWidth="1"/>
    <col min="2" max="2" width="48" customWidth="1"/>
    <col min="3" max="3" width="20" customWidth="1"/>
    <col min="4" max="4" width="18" customWidth="1"/>
    <col min="5" max="5" width="14" customWidth="1"/>
    <col min="6" max="6" width="16" customWidth="1"/>
    <col min="7" max="7" width="18" customWidth="1"/>
  </cols>
  <sheetData>
    <row r="1" spans="1:7" ht="22.8">
      <c r="A1" s="18" t="s">
        <v>705</v>
      </c>
      <c r="B1" s="18"/>
      <c r="C1" s="18"/>
      <c r="D1" s="18"/>
      <c r="E1" s="18"/>
      <c r="F1" s="18"/>
      <c r="G1" s="18"/>
    </row>
    <row r="2" spans="1:7" ht="14.4">
      <c r="A2" s="19" t="s">
        <v>706</v>
      </c>
      <c r="B2" s="19"/>
      <c r="C2" s="19"/>
      <c r="D2" s="19"/>
      <c r="E2" s="19"/>
      <c r="F2" s="19"/>
      <c r="G2" s="19"/>
    </row>
    <row r="4" spans="1:7">
      <c r="A4" s="4" t="s">
        <v>141</v>
      </c>
      <c r="B4" s="5" t="s">
        <v>4</v>
      </c>
      <c r="C4" s="5" t="s">
        <v>140</v>
      </c>
      <c r="D4" s="5" t="s">
        <v>142</v>
      </c>
      <c r="E4" s="5" t="s">
        <v>143</v>
      </c>
      <c r="F4" s="5" t="s">
        <v>144</v>
      </c>
      <c r="G4" s="6" t="s">
        <v>145</v>
      </c>
    </row>
    <row r="5" spans="1:7">
      <c r="A5" s="2">
        <v>45713</v>
      </c>
      <c r="B5" t="s">
        <v>51</v>
      </c>
      <c r="C5" t="s">
        <v>352</v>
      </c>
      <c r="D5" s="3">
        <v>51250</v>
      </c>
      <c r="E5" s="2">
        <v>45713</v>
      </c>
      <c r="F5">
        <f t="shared" ref="F5:F68" ca="1" si="0">TODAY()-E5</f>
        <v>522</v>
      </c>
      <c r="G5" s="3">
        <f t="shared" ref="G5:G68" si="1">SUMIF($B$5:$B$563,B5,$D$5:$D$563)</f>
        <v>117780</v>
      </c>
    </row>
    <row r="6" spans="1:7">
      <c r="A6" s="2">
        <v>45748</v>
      </c>
      <c r="B6" t="s">
        <v>51</v>
      </c>
      <c r="C6" t="s">
        <v>353</v>
      </c>
      <c r="D6" s="3">
        <v>6600</v>
      </c>
      <c r="E6" s="2">
        <v>45748</v>
      </c>
      <c r="F6">
        <f t="shared" ca="1" si="0"/>
        <v>487</v>
      </c>
      <c r="G6" s="3">
        <f t="shared" si="1"/>
        <v>117780</v>
      </c>
    </row>
    <row r="7" spans="1:7">
      <c r="A7" s="2">
        <v>45750</v>
      </c>
      <c r="B7" t="s">
        <v>51</v>
      </c>
      <c r="C7" t="s">
        <v>354</v>
      </c>
      <c r="D7" s="3">
        <v>1514</v>
      </c>
      <c r="E7" s="2">
        <v>45750</v>
      </c>
      <c r="F7">
        <f t="shared" ca="1" si="0"/>
        <v>485</v>
      </c>
      <c r="G7" s="3">
        <f t="shared" si="1"/>
        <v>117780</v>
      </c>
    </row>
    <row r="8" spans="1:7">
      <c r="A8" s="2">
        <v>45763</v>
      </c>
      <c r="B8" t="s">
        <v>51</v>
      </c>
      <c r="C8" t="s">
        <v>355</v>
      </c>
      <c r="D8" s="3">
        <v>8800</v>
      </c>
      <c r="E8" s="2">
        <v>45763</v>
      </c>
      <c r="F8">
        <f t="shared" ca="1" si="0"/>
        <v>472</v>
      </c>
      <c r="G8" s="3">
        <f t="shared" si="1"/>
        <v>117780</v>
      </c>
    </row>
    <row r="9" spans="1:7">
      <c r="A9" s="2">
        <v>45772</v>
      </c>
      <c r="B9" t="s">
        <v>51</v>
      </c>
      <c r="C9" t="s">
        <v>356</v>
      </c>
      <c r="D9" s="3">
        <v>4000</v>
      </c>
      <c r="E9" s="2">
        <v>45772</v>
      </c>
      <c r="F9">
        <f t="shared" ca="1" si="0"/>
        <v>463</v>
      </c>
      <c r="G9" s="3">
        <f t="shared" si="1"/>
        <v>117780</v>
      </c>
    </row>
    <row r="10" spans="1:7">
      <c r="A10" s="2">
        <v>45805</v>
      </c>
      <c r="B10" t="s">
        <v>51</v>
      </c>
      <c r="C10" t="s">
        <v>357</v>
      </c>
      <c r="D10" s="3">
        <v>4858</v>
      </c>
      <c r="E10" s="2">
        <v>45805</v>
      </c>
      <c r="F10">
        <f t="shared" ca="1" si="0"/>
        <v>430</v>
      </c>
      <c r="G10" s="3">
        <f t="shared" si="1"/>
        <v>117780</v>
      </c>
    </row>
    <row r="11" spans="1:7">
      <c r="A11" s="2">
        <v>45831</v>
      </c>
      <c r="B11" t="s">
        <v>107</v>
      </c>
      <c r="C11" t="s">
        <v>531</v>
      </c>
      <c r="D11" s="3">
        <v>1284</v>
      </c>
      <c r="E11" s="2">
        <v>45831</v>
      </c>
      <c r="F11">
        <f t="shared" ca="1" si="0"/>
        <v>404</v>
      </c>
      <c r="G11" s="3">
        <f t="shared" si="1"/>
        <v>23709</v>
      </c>
    </row>
    <row r="12" spans="1:7">
      <c r="A12" s="2">
        <v>45850</v>
      </c>
      <c r="B12" t="s">
        <v>107</v>
      </c>
      <c r="C12" t="s">
        <v>532</v>
      </c>
      <c r="D12" s="3">
        <v>4015</v>
      </c>
      <c r="E12" s="2">
        <v>45850</v>
      </c>
      <c r="F12">
        <f t="shared" ca="1" si="0"/>
        <v>385</v>
      </c>
      <c r="G12" s="3">
        <f t="shared" si="1"/>
        <v>23709</v>
      </c>
    </row>
    <row r="13" spans="1:7">
      <c r="A13" s="2">
        <v>45857</v>
      </c>
      <c r="B13" t="s">
        <v>107</v>
      </c>
      <c r="C13" t="s">
        <v>533</v>
      </c>
      <c r="D13" s="3">
        <v>2784</v>
      </c>
      <c r="E13" s="2">
        <v>45857</v>
      </c>
      <c r="F13">
        <f t="shared" ca="1" si="0"/>
        <v>378</v>
      </c>
      <c r="G13" s="3">
        <f t="shared" si="1"/>
        <v>23709</v>
      </c>
    </row>
    <row r="14" spans="1:7">
      <c r="A14" s="2">
        <v>45860</v>
      </c>
      <c r="B14" t="s">
        <v>92</v>
      </c>
      <c r="C14" t="s">
        <v>463</v>
      </c>
      <c r="D14" s="3">
        <v>3512</v>
      </c>
      <c r="E14" s="2">
        <v>45860</v>
      </c>
      <c r="F14">
        <f t="shared" ca="1" si="0"/>
        <v>375</v>
      </c>
      <c r="G14" s="3">
        <f t="shared" si="1"/>
        <v>58985</v>
      </c>
    </row>
    <row r="15" spans="1:7">
      <c r="A15" s="2">
        <v>45871</v>
      </c>
      <c r="B15" t="s">
        <v>92</v>
      </c>
      <c r="C15" t="s">
        <v>464</v>
      </c>
      <c r="D15" s="3">
        <v>3507</v>
      </c>
      <c r="E15" s="2">
        <v>45871</v>
      </c>
      <c r="F15">
        <f t="shared" ca="1" si="0"/>
        <v>364</v>
      </c>
      <c r="G15" s="3">
        <f t="shared" si="1"/>
        <v>58985</v>
      </c>
    </row>
    <row r="16" spans="1:7">
      <c r="A16" s="2">
        <v>45877</v>
      </c>
      <c r="B16" t="s">
        <v>107</v>
      </c>
      <c r="C16" t="s">
        <v>534</v>
      </c>
      <c r="D16" s="3">
        <v>7661</v>
      </c>
      <c r="E16" s="2">
        <v>45877</v>
      </c>
      <c r="F16">
        <f t="shared" ca="1" si="0"/>
        <v>358</v>
      </c>
      <c r="G16" s="3">
        <f t="shared" si="1"/>
        <v>23709</v>
      </c>
    </row>
    <row r="17" spans="1:7">
      <c r="A17" s="2">
        <v>45885</v>
      </c>
      <c r="B17" t="s">
        <v>51</v>
      </c>
      <c r="C17" t="s">
        <v>358</v>
      </c>
      <c r="D17" s="3">
        <v>4800</v>
      </c>
      <c r="E17" s="2">
        <v>45885</v>
      </c>
      <c r="F17">
        <f t="shared" ca="1" si="0"/>
        <v>350</v>
      </c>
      <c r="G17" s="3">
        <f t="shared" si="1"/>
        <v>117780</v>
      </c>
    </row>
    <row r="18" spans="1:7">
      <c r="A18" s="2">
        <v>45890</v>
      </c>
      <c r="B18" t="s">
        <v>51</v>
      </c>
      <c r="C18" t="s">
        <v>359</v>
      </c>
      <c r="D18" s="3">
        <v>26208</v>
      </c>
      <c r="E18" s="2">
        <v>45890</v>
      </c>
      <c r="F18">
        <f t="shared" ca="1" si="0"/>
        <v>345</v>
      </c>
      <c r="G18" s="3">
        <f t="shared" si="1"/>
        <v>117780</v>
      </c>
    </row>
    <row r="19" spans="1:7">
      <c r="A19" s="2">
        <v>45892</v>
      </c>
      <c r="B19" t="s">
        <v>92</v>
      </c>
      <c r="C19" t="s">
        <v>465</v>
      </c>
      <c r="D19" s="3">
        <v>1077</v>
      </c>
      <c r="E19" s="2">
        <v>45892</v>
      </c>
      <c r="F19">
        <f t="shared" ca="1" si="0"/>
        <v>343</v>
      </c>
      <c r="G19" s="3">
        <f t="shared" si="1"/>
        <v>58985</v>
      </c>
    </row>
    <row r="20" spans="1:7">
      <c r="A20" s="2">
        <v>45899</v>
      </c>
      <c r="B20" t="s">
        <v>92</v>
      </c>
      <c r="C20" t="s">
        <v>466</v>
      </c>
      <c r="D20" s="3">
        <v>437</v>
      </c>
      <c r="E20" s="2">
        <v>45899</v>
      </c>
      <c r="F20">
        <f t="shared" ca="1" si="0"/>
        <v>336</v>
      </c>
      <c r="G20" s="3">
        <f t="shared" si="1"/>
        <v>58985</v>
      </c>
    </row>
    <row r="21" spans="1:7">
      <c r="A21" s="2">
        <v>45912</v>
      </c>
      <c r="B21" t="s">
        <v>107</v>
      </c>
      <c r="C21" t="s">
        <v>535</v>
      </c>
      <c r="D21" s="3">
        <v>1861</v>
      </c>
      <c r="E21" s="2">
        <v>45912</v>
      </c>
      <c r="F21">
        <f t="shared" ca="1" si="0"/>
        <v>323</v>
      </c>
      <c r="G21" s="3">
        <f t="shared" si="1"/>
        <v>23709</v>
      </c>
    </row>
    <row r="22" spans="1:7">
      <c r="A22" s="2">
        <v>45912</v>
      </c>
      <c r="B22" t="s">
        <v>107</v>
      </c>
      <c r="C22" t="s">
        <v>536</v>
      </c>
      <c r="D22" s="3">
        <v>2054</v>
      </c>
      <c r="E22" s="2">
        <v>45912</v>
      </c>
      <c r="F22">
        <f t="shared" ca="1" si="0"/>
        <v>323</v>
      </c>
      <c r="G22" s="3">
        <f t="shared" si="1"/>
        <v>23709</v>
      </c>
    </row>
    <row r="23" spans="1:7">
      <c r="A23" s="2">
        <v>45912</v>
      </c>
      <c r="B23" t="s">
        <v>134</v>
      </c>
      <c r="C23" t="s">
        <v>681</v>
      </c>
      <c r="D23" s="3">
        <v>5206</v>
      </c>
      <c r="E23" s="2">
        <v>45912</v>
      </c>
      <c r="F23">
        <f t="shared" ca="1" si="0"/>
        <v>323</v>
      </c>
      <c r="G23" s="3">
        <f t="shared" si="1"/>
        <v>70377</v>
      </c>
    </row>
    <row r="24" spans="1:7">
      <c r="A24" s="2">
        <v>45915</v>
      </c>
      <c r="B24" t="s">
        <v>107</v>
      </c>
      <c r="C24" t="s">
        <v>537</v>
      </c>
      <c r="D24" s="3">
        <v>3000</v>
      </c>
      <c r="E24" s="2">
        <v>45915</v>
      </c>
      <c r="F24">
        <f t="shared" ca="1" si="0"/>
        <v>320</v>
      </c>
      <c r="G24" s="3">
        <f t="shared" si="1"/>
        <v>23709</v>
      </c>
    </row>
    <row r="25" spans="1:7">
      <c r="A25" s="2">
        <v>45917</v>
      </c>
      <c r="B25" t="s">
        <v>51</v>
      </c>
      <c r="C25" t="s">
        <v>360</v>
      </c>
      <c r="D25" s="3">
        <v>2000</v>
      </c>
      <c r="E25" s="2">
        <v>45917</v>
      </c>
      <c r="F25">
        <f t="shared" ca="1" si="0"/>
        <v>318</v>
      </c>
      <c r="G25" s="3">
        <f t="shared" si="1"/>
        <v>117780</v>
      </c>
    </row>
    <row r="26" spans="1:7">
      <c r="A26" s="2">
        <v>45920</v>
      </c>
      <c r="B26" t="s">
        <v>107</v>
      </c>
      <c r="C26" t="s">
        <v>538</v>
      </c>
      <c r="D26" s="3">
        <v>1050</v>
      </c>
      <c r="E26" s="2">
        <v>45920</v>
      </c>
      <c r="F26">
        <f t="shared" ca="1" si="0"/>
        <v>315</v>
      </c>
      <c r="G26" s="3">
        <f t="shared" si="1"/>
        <v>23709</v>
      </c>
    </row>
    <row r="27" spans="1:7">
      <c r="A27" s="2">
        <v>45930</v>
      </c>
      <c r="B27" t="s">
        <v>51</v>
      </c>
      <c r="C27" t="s">
        <v>361</v>
      </c>
      <c r="D27" s="3">
        <v>7000</v>
      </c>
      <c r="E27" s="2">
        <v>45930</v>
      </c>
      <c r="F27">
        <f t="shared" ca="1" si="0"/>
        <v>305</v>
      </c>
      <c r="G27" s="3">
        <f t="shared" si="1"/>
        <v>117780</v>
      </c>
    </row>
    <row r="28" spans="1:7">
      <c r="A28" s="2">
        <v>45933</v>
      </c>
      <c r="B28" t="s">
        <v>51</v>
      </c>
      <c r="C28" t="s">
        <v>362</v>
      </c>
      <c r="D28" s="3">
        <v>750</v>
      </c>
      <c r="E28" s="2">
        <v>45933</v>
      </c>
      <c r="F28">
        <f t="shared" ca="1" si="0"/>
        <v>302</v>
      </c>
      <c r="G28" s="3">
        <f t="shared" si="1"/>
        <v>117780</v>
      </c>
    </row>
    <row r="29" spans="1:7">
      <c r="A29" s="2">
        <v>45934</v>
      </c>
      <c r="B29" t="s">
        <v>118</v>
      </c>
      <c r="C29" t="s">
        <v>564</v>
      </c>
      <c r="D29" s="3">
        <v>16089</v>
      </c>
      <c r="E29" s="2">
        <v>45934</v>
      </c>
      <c r="F29">
        <f t="shared" ca="1" si="0"/>
        <v>301</v>
      </c>
      <c r="G29" s="3">
        <f t="shared" si="1"/>
        <v>158534</v>
      </c>
    </row>
    <row r="30" spans="1:7">
      <c r="A30" s="2">
        <v>45936</v>
      </c>
      <c r="B30" t="s">
        <v>60</v>
      </c>
      <c r="C30" t="s">
        <v>393</v>
      </c>
      <c r="D30" s="3">
        <v>46728</v>
      </c>
      <c r="E30" s="2">
        <v>45936</v>
      </c>
      <c r="F30">
        <f t="shared" ca="1" si="0"/>
        <v>299</v>
      </c>
      <c r="G30" s="3">
        <f t="shared" si="1"/>
        <v>78587</v>
      </c>
    </row>
    <row r="31" spans="1:7">
      <c r="A31" s="2">
        <v>45941</v>
      </c>
      <c r="B31" t="s">
        <v>118</v>
      </c>
      <c r="C31" t="s">
        <v>565</v>
      </c>
      <c r="D31" s="3">
        <v>2000</v>
      </c>
      <c r="E31" s="2">
        <v>45941</v>
      </c>
      <c r="F31">
        <f t="shared" ca="1" si="0"/>
        <v>294</v>
      </c>
      <c r="G31" s="3">
        <f t="shared" si="1"/>
        <v>158534</v>
      </c>
    </row>
    <row r="32" spans="1:7">
      <c r="A32" s="2">
        <v>45944</v>
      </c>
      <c r="B32" t="s">
        <v>68</v>
      </c>
      <c r="C32" t="s">
        <v>410</v>
      </c>
      <c r="D32" s="3">
        <v>13000</v>
      </c>
      <c r="E32" s="2">
        <v>45944</v>
      </c>
      <c r="F32">
        <f t="shared" ca="1" si="0"/>
        <v>291</v>
      </c>
      <c r="G32" s="3">
        <f t="shared" si="1"/>
        <v>13000</v>
      </c>
    </row>
    <row r="33" spans="1:7">
      <c r="A33" s="2">
        <v>45948</v>
      </c>
      <c r="B33" t="s">
        <v>118</v>
      </c>
      <c r="C33" t="s">
        <v>566</v>
      </c>
      <c r="D33" s="3">
        <v>6445</v>
      </c>
      <c r="E33" s="2">
        <v>45948</v>
      </c>
      <c r="F33">
        <f t="shared" ca="1" si="0"/>
        <v>287</v>
      </c>
      <c r="G33" s="3">
        <f t="shared" si="1"/>
        <v>158534</v>
      </c>
    </row>
    <row r="34" spans="1:7">
      <c r="A34" s="2">
        <v>45962</v>
      </c>
      <c r="B34" t="s">
        <v>92</v>
      </c>
      <c r="C34" t="s">
        <v>467</v>
      </c>
      <c r="D34" s="3">
        <v>1174</v>
      </c>
      <c r="E34" s="2">
        <v>45962</v>
      </c>
      <c r="F34">
        <f t="shared" ca="1" si="0"/>
        <v>273</v>
      </c>
      <c r="G34" s="3">
        <f t="shared" si="1"/>
        <v>58985</v>
      </c>
    </row>
    <row r="35" spans="1:7">
      <c r="A35" s="2">
        <v>45971</v>
      </c>
      <c r="B35" t="s">
        <v>118</v>
      </c>
      <c r="C35" t="s">
        <v>567</v>
      </c>
      <c r="D35" s="3">
        <v>4800</v>
      </c>
      <c r="E35" s="2">
        <v>45971</v>
      </c>
      <c r="F35">
        <f t="shared" ca="1" si="0"/>
        <v>264</v>
      </c>
      <c r="G35" s="3">
        <f t="shared" si="1"/>
        <v>158534</v>
      </c>
    </row>
    <row r="36" spans="1:7">
      <c r="A36" s="2">
        <v>45987</v>
      </c>
      <c r="B36" t="s">
        <v>134</v>
      </c>
      <c r="C36" t="s">
        <v>682</v>
      </c>
      <c r="D36" s="3">
        <v>6077</v>
      </c>
      <c r="E36" s="2">
        <v>45987</v>
      </c>
      <c r="F36">
        <f t="shared" ca="1" si="0"/>
        <v>248</v>
      </c>
      <c r="G36" s="3">
        <f t="shared" si="1"/>
        <v>70377</v>
      </c>
    </row>
    <row r="37" spans="1:7">
      <c r="A37" s="2">
        <v>45990</v>
      </c>
      <c r="B37" t="s">
        <v>92</v>
      </c>
      <c r="C37" t="s">
        <v>468</v>
      </c>
      <c r="D37" s="3">
        <v>2662</v>
      </c>
      <c r="E37" s="2">
        <v>45990</v>
      </c>
      <c r="F37">
        <f t="shared" ca="1" si="0"/>
        <v>245</v>
      </c>
      <c r="G37" s="3">
        <f t="shared" si="1"/>
        <v>58985</v>
      </c>
    </row>
    <row r="38" spans="1:7">
      <c r="A38" s="2">
        <v>45997</v>
      </c>
      <c r="B38" t="s">
        <v>118</v>
      </c>
      <c r="C38" t="s">
        <v>568</v>
      </c>
      <c r="D38" s="3">
        <v>5500</v>
      </c>
      <c r="E38" s="2">
        <v>45997</v>
      </c>
      <c r="F38">
        <f t="shared" ca="1" si="0"/>
        <v>238</v>
      </c>
      <c r="G38" s="3">
        <f t="shared" si="1"/>
        <v>158534</v>
      </c>
    </row>
    <row r="39" spans="1:7">
      <c r="A39" s="2">
        <v>46010</v>
      </c>
      <c r="B39" t="s">
        <v>118</v>
      </c>
      <c r="C39" t="s">
        <v>569</v>
      </c>
      <c r="D39" s="3">
        <v>26000</v>
      </c>
      <c r="E39" s="2">
        <v>46010</v>
      </c>
      <c r="F39">
        <f t="shared" ca="1" si="0"/>
        <v>225</v>
      </c>
      <c r="G39" s="3">
        <f t="shared" si="1"/>
        <v>158534</v>
      </c>
    </row>
    <row r="40" spans="1:7">
      <c r="A40" s="2">
        <v>46011</v>
      </c>
      <c r="B40" t="s">
        <v>16</v>
      </c>
      <c r="C40" t="s">
        <v>172</v>
      </c>
      <c r="D40" s="3">
        <v>885</v>
      </c>
      <c r="E40" s="2">
        <v>46011</v>
      </c>
      <c r="F40">
        <f t="shared" ca="1" si="0"/>
        <v>224</v>
      </c>
      <c r="G40" s="3">
        <f t="shared" si="1"/>
        <v>7965</v>
      </c>
    </row>
    <row r="41" spans="1:7">
      <c r="A41" s="2">
        <v>46011</v>
      </c>
      <c r="B41" t="s">
        <v>118</v>
      </c>
      <c r="C41" t="s">
        <v>570</v>
      </c>
      <c r="D41" s="3">
        <v>4250</v>
      </c>
      <c r="E41" s="2">
        <v>46011</v>
      </c>
      <c r="F41">
        <f t="shared" ca="1" si="0"/>
        <v>224</v>
      </c>
      <c r="G41" s="3">
        <f t="shared" si="1"/>
        <v>158534</v>
      </c>
    </row>
    <row r="42" spans="1:7">
      <c r="A42" s="2">
        <v>46017</v>
      </c>
      <c r="B42" t="s">
        <v>135</v>
      </c>
      <c r="C42" t="s">
        <v>696</v>
      </c>
      <c r="D42" s="3">
        <v>20589</v>
      </c>
      <c r="E42" s="2">
        <v>46017</v>
      </c>
      <c r="F42">
        <f t="shared" ca="1" si="0"/>
        <v>218</v>
      </c>
      <c r="G42" s="3">
        <f t="shared" si="1"/>
        <v>44439</v>
      </c>
    </row>
    <row r="43" spans="1:7">
      <c r="A43" s="2">
        <v>46028</v>
      </c>
      <c r="B43" t="s">
        <v>16</v>
      </c>
      <c r="C43" t="s">
        <v>173</v>
      </c>
      <c r="D43" s="3">
        <v>5310</v>
      </c>
      <c r="E43" s="2">
        <v>46028</v>
      </c>
      <c r="F43">
        <f t="shared" ca="1" si="0"/>
        <v>207</v>
      </c>
      <c r="G43" s="3">
        <f t="shared" si="1"/>
        <v>7965</v>
      </c>
    </row>
    <row r="44" spans="1:7">
      <c r="A44" s="2">
        <v>46032</v>
      </c>
      <c r="B44" t="s">
        <v>26</v>
      </c>
      <c r="C44" t="s">
        <v>225</v>
      </c>
      <c r="D44" s="3">
        <v>972</v>
      </c>
      <c r="E44" s="2">
        <v>46032</v>
      </c>
      <c r="F44">
        <f t="shared" ca="1" si="0"/>
        <v>203</v>
      </c>
      <c r="G44" s="3">
        <f t="shared" si="1"/>
        <v>23286</v>
      </c>
    </row>
    <row r="45" spans="1:7">
      <c r="A45" s="2">
        <v>46034</v>
      </c>
      <c r="B45" t="s">
        <v>20</v>
      </c>
      <c r="C45" t="s">
        <v>184</v>
      </c>
      <c r="D45" s="3">
        <v>2765</v>
      </c>
      <c r="E45" s="2">
        <v>46034</v>
      </c>
      <c r="F45">
        <f t="shared" ca="1" si="0"/>
        <v>201</v>
      </c>
      <c r="G45" s="3">
        <f t="shared" si="1"/>
        <v>10155</v>
      </c>
    </row>
    <row r="46" spans="1:7">
      <c r="A46" s="2">
        <v>46046</v>
      </c>
      <c r="B46" t="s">
        <v>30</v>
      </c>
      <c r="C46" t="s">
        <v>254</v>
      </c>
      <c r="D46" s="3">
        <v>11924</v>
      </c>
      <c r="E46" s="2">
        <v>46046</v>
      </c>
      <c r="F46">
        <f t="shared" ca="1" si="0"/>
        <v>189</v>
      </c>
      <c r="G46" s="3">
        <f t="shared" si="1"/>
        <v>238111</v>
      </c>
    </row>
    <row r="47" spans="1:7">
      <c r="A47" s="2">
        <v>46046</v>
      </c>
      <c r="B47" t="s">
        <v>118</v>
      </c>
      <c r="C47" t="s">
        <v>571</v>
      </c>
      <c r="D47" s="3">
        <v>13200</v>
      </c>
      <c r="E47" s="2">
        <v>46046</v>
      </c>
      <c r="F47">
        <f t="shared" ca="1" si="0"/>
        <v>189</v>
      </c>
      <c r="G47" s="3">
        <f t="shared" si="1"/>
        <v>158534</v>
      </c>
    </row>
    <row r="48" spans="1:7">
      <c r="A48" s="2">
        <v>46046</v>
      </c>
      <c r="B48" t="s">
        <v>118</v>
      </c>
      <c r="C48" t="s">
        <v>572</v>
      </c>
      <c r="D48" s="3">
        <v>2643</v>
      </c>
      <c r="E48" s="2">
        <v>46046</v>
      </c>
      <c r="F48">
        <f t="shared" ca="1" si="0"/>
        <v>189</v>
      </c>
      <c r="G48" s="3">
        <f t="shared" si="1"/>
        <v>158534</v>
      </c>
    </row>
    <row r="49" spans="1:7">
      <c r="A49" s="2">
        <v>46049</v>
      </c>
      <c r="B49" t="s">
        <v>118</v>
      </c>
      <c r="C49" t="s">
        <v>573</v>
      </c>
      <c r="D49" s="3">
        <v>4900</v>
      </c>
      <c r="E49" s="2">
        <v>46049</v>
      </c>
      <c r="F49">
        <f t="shared" ca="1" si="0"/>
        <v>186</v>
      </c>
      <c r="G49" s="3">
        <f t="shared" si="1"/>
        <v>158534</v>
      </c>
    </row>
    <row r="50" spans="1:7">
      <c r="A50" s="2">
        <v>46051</v>
      </c>
      <c r="B50" t="s">
        <v>60</v>
      </c>
      <c r="C50" t="s">
        <v>394</v>
      </c>
      <c r="D50" s="3">
        <v>4720</v>
      </c>
      <c r="E50" s="2">
        <v>46051</v>
      </c>
      <c r="F50">
        <f t="shared" ca="1" si="0"/>
        <v>184</v>
      </c>
      <c r="G50" s="3">
        <f t="shared" si="1"/>
        <v>78587</v>
      </c>
    </row>
    <row r="51" spans="1:7">
      <c r="A51" s="2">
        <v>46052</v>
      </c>
      <c r="B51" t="s">
        <v>30</v>
      </c>
      <c r="C51" t="s">
        <v>255</v>
      </c>
      <c r="D51" s="3">
        <v>12000</v>
      </c>
      <c r="E51" s="2">
        <v>46052</v>
      </c>
      <c r="F51">
        <f t="shared" ca="1" si="0"/>
        <v>183</v>
      </c>
      <c r="G51" s="3">
        <f t="shared" si="1"/>
        <v>238111</v>
      </c>
    </row>
    <row r="52" spans="1:7">
      <c r="A52" s="2">
        <v>46053</v>
      </c>
      <c r="B52" t="s">
        <v>26</v>
      </c>
      <c r="C52" t="s">
        <v>226</v>
      </c>
      <c r="D52" s="3">
        <v>168</v>
      </c>
      <c r="E52" s="2">
        <v>46053</v>
      </c>
      <c r="F52">
        <f t="shared" ca="1" si="0"/>
        <v>182</v>
      </c>
      <c r="G52" s="3">
        <f t="shared" si="1"/>
        <v>23286</v>
      </c>
    </row>
    <row r="53" spans="1:7">
      <c r="A53" s="2">
        <v>46053</v>
      </c>
      <c r="B53" t="s">
        <v>118</v>
      </c>
      <c r="C53" t="s">
        <v>574</v>
      </c>
      <c r="D53" s="3">
        <v>1700</v>
      </c>
      <c r="E53" s="2">
        <v>46053</v>
      </c>
      <c r="F53">
        <f t="shared" ca="1" si="0"/>
        <v>182</v>
      </c>
      <c r="G53" s="3">
        <f t="shared" si="1"/>
        <v>158534</v>
      </c>
    </row>
    <row r="54" spans="1:7">
      <c r="A54" s="2">
        <v>46055</v>
      </c>
      <c r="B54" t="s">
        <v>26</v>
      </c>
      <c r="C54" t="s">
        <v>227</v>
      </c>
      <c r="D54" s="3">
        <v>588</v>
      </c>
      <c r="E54" s="2">
        <v>46055</v>
      </c>
      <c r="F54">
        <f t="shared" ca="1" si="0"/>
        <v>180</v>
      </c>
      <c r="G54" s="3">
        <f t="shared" si="1"/>
        <v>23286</v>
      </c>
    </row>
    <row r="55" spans="1:7">
      <c r="A55" s="2">
        <v>46062</v>
      </c>
      <c r="B55" t="s">
        <v>60</v>
      </c>
      <c r="C55" t="s">
        <v>395</v>
      </c>
      <c r="D55" s="3">
        <v>2950</v>
      </c>
      <c r="E55" s="2">
        <v>46062</v>
      </c>
      <c r="F55">
        <f t="shared" ca="1" si="0"/>
        <v>173</v>
      </c>
      <c r="G55" s="3">
        <f t="shared" si="1"/>
        <v>78587</v>
      </c>
    </row>
    <row r="56" spans="1:7">
      <c r="A56" s="2">
        <v>46063</v>
      </c>
      <c r="B56" t="s">
        <v>92</v>
      </c>
      <c r="C56" t="s">
        <v>469</v>
      </c>
      <c r="D56" s="3">
        <v>2455</v>
      </c>
      <c r="E56" s="2">
        <v>46063</v>
      </c>
      <c r="F56">
        <f t="shared" ca="1" si="0"/>
        <v>172</v>
      </c>
      <c r="G56" s="3">
        <f t="shared" si="1"/>
        <v>58985</v>
      </c>
    </row>
    <row r="57" spans="1:7">
      <c r="A57" s="2">
        <v>46067</v>
      </c>
      <c r="B57" t="s">
        <v>20</v>
      </c>
      <c r="C57" t="s">
        <v>185</v>
      </c>
      <c r="D57" s="3">
        <v>1766</v>
      </c>
      <c r="E57" s="2">
        <v>46067</v>
      </c>
      <c r="F57">
        <f t="shared" ca="1" si="0"/>
        <v>168</v>
      </c>
      <c r="G57" s="3">
        <f t="shared" si="1"/>
        <v>10155</v>
      </c>
    </row>
    <row r="58" spans="1:7">
      <c r="A58" s="2">
        <v>46067</v>
      </c>
      <c r="B58" t="s">
        <v>30</v>
      </c>
      <c r="C58" t="s">
        <v>256</v>
      </c>
      <c r="D58" s="3">
        <v>8000</v>
      </c>
      <c r="E58" s="2">
        <v>46067</v>
      </c>
      <c r="F58">
        <f t="shared" ca="1" si="0"/>
        <v>168</v>
      </c>
      <c r="G58" s="3">
        <f t="shared" si="1"/>
        <v>238111</v>
      </c>
    </row>
    <row r="59" spans="1:7">
      <c r="A59" s="2">
        <v>46067</v>
      </c>
      <c r="B59" t="s">
        <v>41</v>
      </c>
      <c r="C59" t="s">
        <v>322</v>
      </c>
      <c r="D59" s="3">
        <v>3125</v>
      </c>
      <c r="E59" s="2">
        <v>46067</v>
      </c>
      <c r="F59">
        <f t="shared" ca="1" si="0"/>
        <v>168</v>
      </c>
      <c r="G59" s="3">
        <f t="shared" si="1"/>
        <v>10782</v>
      </c>
    </row>
    <row r="60" spans="1:7">
      <c r="A60" s="2">
        <v>46070</v>
      </c>
      <c r="B60" t="s">
        <v>131</v>
      </c>
      <c r="C60" t="s">
        <v>657</v>
      </c>
      <c r="D60" s="3">
        <v>625</v>
      </c>
      <c r="E60" s="2">
        <v>46070</v>
      </c>
      <c r="F60">
        <f t="shared" ca="1" si="0"/>
        <v>165</v>
      </c>
      <c r="G60" s="3">
        <f t="shared" si="1"/>
        <v>86975</v>
      </c>
    </row>
    <row r="61" spans="1:7">
      <c r="A61" s="2">
        <v>46073</v>
      </c>
      <c r="B61" t="s">
        <v>129</v>
      </c>
      <c r="C61" t="s">
        <v>639</v>
      </c>
      <c r="D61" s="3">
        <v>12500</v>
      </c>
      <c r="E61" s="2">
        <v>46073</v>
      </c>
      <c r="F61">
        <f t="shared" ca="1" si="0"/>
        <v>162</v>
      </c>
      <c r="G61" s="3">
        <f t="shared" si="1"/>
        <v>68445</v>
      </c>
    </row>
    <row r="62" spans="1:7">
      <c r="A62" s="2">
        <v>46074</v>
      </c>
      <c r="B62" t="s">
        <v>26</v>
      </c>
      <c r="C62" t="s">
        <v>228</v>
      </c>
      <c r="D62" s="3">
        <v>84</v>
      </c>
      <c r="E62" s="2">
        <v>46074</v>
      </c>
      <c r="F62">
        <f t="shared" ca="1" si="0"/>
        <v>161</v>
      </c>
      <c r="G62" s="3">
        <f t="shared" si="1"/>
        <v>23286</v>
      </c>
    </row>
    <row r="63" spans="1:7">
      <c r="A63" s="2">
        <v>46074</v>
      </c>
      <c r="B63" t="s">
        <v>118</v>
      </c>
      <c r="C63" t="s">
        <v>575</v>
      </c>
      <c r="D63" s="3">
        <v>158</v>
      </c>
      <c r="E63" s="2">
        <v>46074</v>
      </c>
      <c r="F63">
        <f t="shared" ca="1" si="0"/>
        <v>161</v>
      </c>
      <c r="G63" s="3">
        <f t="shared" si="1"/>
        <v>158534</v>
      </c>
    </row>
    <row r="64" spans="1:7">
      <c r="A64" s="2">
        <v>46074</v>
      </c>
      <c r="B64" t="s">
        <v>129</v>
      </c>
      <c r="C64" t="s">
        <v>640</v>
      </c>
      <c r="D64" s="3">
        <v>3570</v>
      </c>
      <c r="E64" s="2">
        <v>46074</v>
      </c>
      <c r="F64">
        <f t="shared" ca="1" si="0"/>
        <v>161</v>
      </c>
      <c r="G64" s="3">
        <f t="shared" si="1"/>
        <v>68445</v>
      </c>
    </row>
    <row r="65" spans="1:7">
      <c r="A65" s="2">
        <v>46078</v>
      </c>
      <c r="B65" t="s">
        <v>129</v>
      </c>
      <c r="C65" t="s">
        <v>641</v>
      </c>
      <c r="D65" s="3">
        <v>1339</v>
      </c>
      <c r="E65" s="2">
        <v>46078</v>
      </c>
      <c r="F65">
        <f t="shared" ca="1" si="0"/>
        <v>157</v>
      </c>
      <c r="G65" s="3">
        <f t="shared" si="1"/>
        <v>68445</v>
      </c>
    </row>
    <row r="66" spans="1:7">
      <c r="A66" s="2">
        <v>46079</v>
      </c>
      <c r="B66" t="s">
        <v>120</v>
      </c>
      <c r="C66" t="s">
        <v>590</v>
      </c>
      <c r="D66" s="3">
        <v>2418</v>
      </c>
      <c r="E66" s="2">
        <v>46079</v>
      </c>
      <c r="F66">
        <f t="shared" ca="1" si="0"/>
        <v>156</v>
      </c>
      <c r="G66" s="3">
        <f t="shared" si="1"/>
        <v>109542</v>
      </c>
    </row>
    <row r="67" spans="1:7">
      <c r="A67" s="2">
        <v>46079</v>
      </c>
      <c r="B67" t="s">
        <v>129</v>
      </c>
      <c r="C67" t="s">
        <v>642</v>
      </c>
      <c r="D67" s="3">
        <v>4640</v>
      </c>
      <c r="E67" s="2">
        <v>46079</v>
      </c>
      <c r="F67">
        <f t="shared" ca="1" si="0"/>
        <v>156</v>
      </c>
      <c r="G67" s="3">
        <f t="shared" si="1"/>
        <v>68445</v>
      </c>
    </row>
    <row r="68" spans="1:7">
      <c r="A68" s="2">
        <v>46079</v>
      </c>
      <c r="B68" t="s">
        <v>129</v>
      </c>
      <c r="C68" t="s">
        <v>643</v>
      </c>
      <c r="D68" s="3">
        <v>180</v>
      </c>
      <c r="E68" s="2">
        <v>46079</v>
      </c>
      <c r="F68">
        <f t="shared" ca="1" si="0"/>
        <v>156</v>
      </c>
      <c r="G68" s="3">
        <f t="shared" si="1"/>
        <v>68445</v>
      </c>
    </row>
    <row r="69" spans="1:7">
      <c r="A69" s="2">
        <v>46080</v>
      </c>
      <c r="B69" t="s">
        <v>118</v>
      </c>
      <c r="C69" t="s">
        <v>576</v>
      </c>
      <c r="D69" s="3">
        <v>850</v>
      </c>
      <c r="E69" s="2">
        <v>46080</v>
      </c>
      <c r="F69">
        <f t="shared" ref="F69:F132" ca="1" si="2">TODAY()-E69</f>
        <v>155</v>
      </c>
      <c r="G69" s="3">
        <f t="shared" ref="G69:G132" si="3">SUMIF($B$5:$B$563,B69,$D$5:$D$563)</f>
        <v>158534</v>
      </c>
    </row>
    <row r="70" spans="1:7">
      <c r="A70" s="2">
        <v>46080</v>
      </c>
      <c r="B70" t="s">
        <v>120</v>
      </c>
      <c r="C70" t="s">
        <v>591</v>
      </c>
      <c r="D70" s="3">
        <v>9867</v>
      </c>
      <c r="E70" s="2">
        <v>46080</v>
      </c>
      <c r="F70">
        <f t="shared" ca="1" si="2"/>
        <v>155</v>
      </c>
      <c r="G70" s="3">
        <f t="shared" si="3"/>
        <v>109542</v>
      </c>
    </row>
    <row r="71" spans="1:7">
      <c r="A71" s="2">
        <v>46081</v>
      </c>
      <c r="B71" t="s">
        <v>30</v>
      </c>
      <c r="C71" t="s">
        <v>257</v>
      </c>
      <c r="D71" s="3">
        <v>2360</v>
      </c>
      <c r="E71" s="2">
        <v>46081</v>
      </c>
      <c r="F71">
        <f t="shared" ca="1" si="2"/>
        <v>154</v>
      </c>
      <c r="G71" s="3">
        <f t="shared" si="3"/>
        <v>238111</v>
      </c>
    </row>
    <row r="72" spans="1:7">
      <c r="A72" s="2">
        <v>46081</v>
      </c>
      <c r="B72" t="s">
        <v>118</v>
      </c>
      <c r="C72" t="s">
        <v>577</v>
      </c>
      <c r="D72" s="3">
        <v>5650</v>
      </c>
      <c r="E72" s="2">
        <v>46081</v>
      </c>
      <c r="F72">
        <f t="shared" ca="1" si="2"/>
        <v>154</v>
      </c>
      <c r="G72" s="3">
        <f t="shared" si="3"/>
        <v>158534</v>
      </c>
    </row>
    <row r="73" spans="1:7">
      <c r="A73" s="2">
        <v>46081</v>
      </c>
      <c r="B73" t="s">
        <v>129</v>
      </c>
      <c r="C73" t="s">
        <v>644</v>
      </c>
      <c r="D73" s="3">
        <v>1250</v>
      </c>
      <c r="E73" s="2">
        <v>46081</v>
      </c>
      <c r="F73">
        <f t="shared" ca="1" si="2"/>
        <v>154</v>
      </c>
      <c r="G73" s="3">
        <f t="shared" si="3"/>
        <v>68445</v>
      </c>
    </row>
    <row r="74" spans="1:7">
      <c r="A74" s="2">
        <v>46083</v>
      </c>
      <c r="B74" t="s">
        <v>122</v>
      </c>
      <c r="C74" t="s">
        <v>615</v>
      </c>
      <c r="D74" s="3">
        <v>1083</v>
      </c>
      <c r="E74" s="2">
        <v>46083</v>
      </c>
      <c r="F74">
        <f t="shared" ca="1" si="2"/>
        <v>152</v>
      </c>
      <c r="G74" s="3">
        <f t="shared" si="3"/>
        <v>22615</v>
      </c>
    </row>
    <row r="75" spans="1:7">
      <c r="A75" s="2">
        <v>46084</v>
      </c>
      <c r="B75" t="s">
        <v>129</v>
      </c>
      <c r="C75" t="s">
        <v>645</v>
      </c>
      <c r="D75" s="3">
        <v>3588</v>
      </c>
      <c r="E75" s="2">
        <v>46084</v>
      </c>
      <c r="F75">
        <f t="shared" ca="1" si="2"/>
        <v>151</v>
      </c>
      <c r="G75" s="3">
        <f t="shared" si="3"/>
        <v>68445</v>
      </c>
    </row>
    <row r="76" spans="1:7">
      <c r="A76" s="2">
        <v>46085</v>
      </c>
      <c r="B76" t="s">
        <v>30</v>
      </c>
      <c r="C76" t="s">
        <v>258</v>
      </c>
      <c r="D76" s="3">
        <v>17037</v>
      </c>
      <c r="E76" s="2">
        <v>46085</v>
      </c>
      <c r="F76">
        <f t="shared" ca="1" si="2"/>
        <v>150</v>
      </c>
      <c r="G76" s="3">
        <f t="shared" si="3"/>
        <v>238111</v>
      </c>
    </row>
    <row r="77" spans="1:7">
      <c r="A77" s="2">
        <v>46086</v>
      </c>
      <c r="B77" t="s">
        <v>30</v>
      </c>
      <c r="C77" t="s">
        <v>259</v>
      </c>
      <c r="D77" s="3">
        <v>2107</v>
      </c>
      <c r="E77" s="2">
        <v>46086</v>
      </c>
      <c r="F77">
        <f t="shared" ca="1" si="2"/>
        <v>149</v>
      </c>
      <c r="G77" s="3">
        <f t="shared" si="3"/>
        <v>238111</v>
      </c>
    </row>
    <row r="78" spans="1:7">
      <c r="A78" s="2">
        <v>46086</v>
      </c>
      <c r="B78" t="s">
        <v>92</v>
      </c>
      <c r="C78" t="s">
        <v>470</v>
      </c>
      <c r="D78" s="3">
        <v>207</v>
      </c>
      <c r="E78" s="2">
        <v>46086</v>
      </c>
      <c r="F78">
        <f t="shared" ca="1" si="2"/>
        <v>149</v>
      </c>
      <c r="G78" s="3">
        <f t="shared" si="3"/>
        <v>58985</v>
      </c>
    </row>
    <row r="79" spans="1:7">
      <c r="A79" s="2">
        <v>46086</v>
      </c>
      <c r="B79" t="s">
        <v>120</v>
      </c>
      <c r="C79" t="s">
        <v>592</v>
      </c>
      <c r="D79" s="3">
        <v>350</v>
      </c>
      <c r="E79" s="2">
        <v>46086</v>
      </c>
      <c r="F79">
        <f t="shared" ca="1" si="2"/>
        <v>149</v>
      </c>
      <c r="G79" s="3">
        <f t="shared" si="3"/>
        <v>109542</v>
      </c>
    </row>
    <row r="80" spans="1:7">
      <c r="A80" s="2">
        <v>46087</v>
      </c>
      <c r="B80" t="s">
        <v>48</v>
      </c>
      <c r="C80" t="s">
        <v>349</v>
      </c>
      <c r="D80" s="3">
        <v>9828</v>
      </c>
      <c r="E80" s="2">
        <v>46087</v>
      </c>
      <c r="F80">
        <f t="shared" ca="1" si="2"/>
        <v>148</v>
      </c>
      <c r="G80" s="3">
        <f t="shared" si="3"/>
        <v>9828</v>
      </c>
    </row>
    <row r="81" spans="1:7">
      <c r="A81" s="2">
        <v>46088</v>
      </c>
      <c r="B81" t="s">
        <v>26</v>
      </c>
      <c r="C81" t="s">
        <v>229</v>
      </c>
      <c r="D81" s="3">
        <v>1407</v>
      </c>
      <c r="E81" s="2">
        <v>46088</v>
      </c>
      <c r="F81">
        <f t="shared" ca="1" si="2"/>
        <v>147</v>
      </c>
      <c r="G81" s="3">
        <f t="shared" si="3"/>
        <v>23286</v>
      </c>
    </row>
    <row r="82" spans="1:7">
      <c r="A82" s="2">
        <v>46088</v>
      </c>
      <c r="B82" t="s">
        <v>92</v>
      </c>
      <c r="C82" t="s">
        <v>471</v>
      </c>
      <c r="D82" s="3">
        <v>410</v>
      </c>
      <c r="E82" s="2">
        <v>46088</v>
      </c>
      <c r="F82">
        <f t="shared" ca="1" si="2"/>
        <v>147</v>
      </c>
      <c r="G82" s="3">
        <f t="shared" si="3"/>
        <v>58985</v>
      </c>
    </row>
    <row r="83" spans="1:7">
      <c r="A83" s="2">
        <v>46090</v>
      </c>
      <c r="B83" t="s">
        <v>120</v>
      </c>
      <c r="C83" t="s">
        <v>593</v>
      </c>
      <c r="D83" s="3">
        <v>3044</v>
      </c>
      <c r="E83" s="2">
        <v>46090</v>
      </c>
      <c r="F83">
        <f t="shared" ca="1" si="2"/>
        <v>145</v>
      </c>
      <c r="G83" s="3">
        <f t="shared" si="3"/>
        <v>109542</v>
      </c>
    </row>
    <row r="84" spans="1:7">
      <c r="A84" s="2">
        <v>46091</v>
      </c>
      <c r="B84" t="s">
        <v>131</v>
      </c>
      <c r="C84" t="s">
        <v>658</v>
      </c>
      <c r="D84" s="3">
        <v>8446</v>
      </c>
      <c r="E84" s="2">
        <v>46091</v>
      </c>
      <c r="F84">
        <f t="shared" ca="1" si="2"/>
        <v>144</v>
      </c>
      <c r="G84" s="3">
        <f t="shared" si="3"/>
        <v>86975</v>
      </c>
    </row>
    <row r="85" spans="1:7">
      <c r="A85" s="2">
        <v>46092</v>
      </c>
      <c r="B85" t="s">
        <v>92</v>
      </c>
      <c r="C85" t="s">
        <v>472</v>
      </c>
      <c r="D85" s="3">
        <v>9214</v>
      </c>
      <c r="E85" s="2">
        <v>46092</v>
      </c>
      <c r="F85">
        <f t="shared" ca="1" si="2"/>
        <v>143</v>
      </c>
      <c r="G85" s="3">
        <f t="shared" si="3"/>
        <v>58985</v>
      </c>
    </row>
    <row r="86" spans="1:7">
      <c r="A86" s="2">
        <v>46093</v>
      </c>
      <c r="B86" t="s">
        <v>120</v>
      </c>
      <c r="C86" t="s">
        <v>594</v>
      </c>
      <c r="D86" s="3">
        <v>2100</v>
      </c>
      <c r="E86" s="2">
        <v>46093</v>
      </c>
      <c r="F86">
        <f t="shared" ca="1" si="2"/>
        <v>142</v>
      </c>
      <c r="G86" s="3">
        <f t="shared" si="3"/>
        <v>109542</v>
      </c>
    </row>
    <row r="87" spans="1:7">
      <c r="A87" s="2">
        <v>46093</v>
      </c>
      <c r="B87" t="s">
        <v>122</v>
      </c>
      <c r="C87" t="s">
        <v>616</v>
      </c>
      <c r="D87" s="3">
        <v>2630</v>
      </c>
      <c r="E87" s="2">
        <v>46093</v>
      </c>
      <c r="F87">
        <f t="shared" ca="1" si="2"/>
        <v>142</v>
      </c>
      <c r="G87" s="3">
        <f t="shared" si="3"/>
        <v>22615</v>
      </c>
    </row>
    <row r="88" spans="1:7">
      <c r="A88" s="2">
        <v>46095</v>
      </c>
      <c r="B88" t="s">
        <v>30</v>
      </c>
      <c r="C88" t="s">
        <v>260</v>
      </c>
      <c r="D88" s="3">
        <v>2385</v>
      </c>
      <c r="E88" s="2">
        <v>46095</v>
      </c>
      <c r="F88">
        <f t="shared" ca="1" si="2"/>
        <v>140</v>
      </c>
      <c r="G88" s="3">
        <f t="shared" si="3"/>
        <v>238111</v>
      </c>
    </row>
    <row r="89" spans="1:7">
      <c r="A89" s="2">
        <v>46095</v>
      </c>
      <c r="B89" t="s">
        <v>120</v>
      </c>
      <c r="C89" t="s">
        <v>595</v>
      </c>
      <c r="D89" s="3">
        <v>9122</v>
      </c>
      <c r="E89" s="2">
        <v>46095</v>
      </c>
      <c r="F89">
        <f t="shared" ca="1" si="2"/>
        <v>140</v>
      </c>
      <c r="G89" s="3">
        <f t="shared" si="3"/>
        <v>109542</v>
      </c>
    </row>
    <row r="90" spans="1:7">
      <c r="A90" s="2">
        <v>46098</v>
      </c>
      <c r="B90" t="s">
        <v>118</v>
      </c>
      <c r="C90" t="s">
        <v>578</v>
      </c>
      <c r="D90" s="3">
        <v>2500</v>
      </c>
      <c r="E90" s="2">
        <v>46098</v>
      </c>
      <c r="F90">
        <f t="shared" ca="1" si="2"/>
        <v>137</v>
      </c>
      <c r="G90" s="3">
        <f t="shared" si="3"/>
        <v>158534</v>
      </c>
    </row>
    <row r="91" spans="1:7">
      <c r="A91" s="2">
        <v>46099</v>
      </c>
      <c r="B91" t="s">
        <v>120</v>
      </c>
      <c r="C91" t="s">
        <v>596</v>
      </c>
      <c r="D91" s="3">
        <v>5931</v>
      </c>
      <c r="E91" s="2">
        <v>46099</v>
      </c>
      <c r="F91">
        <f t="shared" ca="1" si="2"/>
        <v>136</v>
      </c>
      <c r="G91" s="3">
        <f t="shared" si="3"/>
        <v>109542</v>
      </c>
    </row>
    <row r="92" spans="1:7">
      <c r="A92" s="2">
        <v>46100</v>
      </c>
      <c r="B92" t="s">
        <v>120</v>
      </c>
      <c r="C92" t="s">
        <v>597</v>
      </c>
      <c r="D92" s="3">
        <v>12100</v>
      </c>
      <c r="E92" s="2">
        <v>46100</v>
      </c>
      <c r="F92">
        <f t="shared" ca="1" si="2"/>
        <v>135</v>
      </c>
      <c r="G92" s="3">
        <f t="shared" si="3"/>
        <v>109542</v>
      </c>
    </row>
    <row r="93" spans="1:7">
      <c r="A93" s="2">
        <v>46102</v>
      </c>
      <c r="B93" t="s">
        <v>15</v>
      </c>
      <c r="C93" t="s">
        <v>161</v>
      </c>
      <c r="D93" s="3">
        <v>44180</v>
      </c>
      <c r="E93" s="2">
        <v>46102</v>
      </c>
      <c r="F93">
        <f t="shared" ca="1" si="2"/>
        <v>133</v>
      </c>
      <c r="G93" s="3">
        <f t="shared" si="3"/>
        <v>119404</v>
      </c>
    </row>
    <row r="94" spans="1:7">
      <c r="A94" s="2">
        <v>46102</v>
      </c>
      <c r="B94" t="s">
        <v>26</v>
      </c>
      <c r="C94" t="s">
        <v>230</v>
      </c>
      <c r="D94" s="3">
        <v>840</v>
      </c>
      <c r="E94" s="2">
        <v>46102</v>
      </c>
      <c r="F94">
        <f t="shared" ca="1" si="2"/>
        <v>133</v>
      </c>
      <c r="G94" s="3">
        <f t="shared" si="3"/>
        <v>23286</v>
      </c>
    </row>
    <row r="95" spans="1:7">
      <c r="A95" s="2">
        <v>46102</v>
      </c>
      <c r="B95" t="s">
        <v>30</v>
      </c>
      <c r="C95" t="s">
        <v>261</v>
      </c>
      <c r="D95" s="3">
        <v>10000</v>
      </c>
      <c r="E95" s="2">
        <v>46102</v>
      </c>
      <c r="F95">
        <f t="shared" ca="1" si="2"/>
        <v>133</v>
      </c>
      <c r="G95" s="3">
        <f t="shared" si="3"/>
        <v>238111</v>
      </c>
    </row>
    <row r="96" spans="1:7">
      <c r="A96" s="2">
        <v>46102</v>
      </c>
      <c r="B96" t="s">
        <v>60</v>
      </c>
      <c r="C96" t="s">
        <v>396</v>
      </c>
      <c r="D96" s="3">
        <v>5900</v>
      </c>
      <c r="E96" s="2">
        <v>46102</v>
      </c>
      <c r="F96">
        <f t="shared" ca="1" si="2"/>
        <v>133</v>
      </c>
      <c r="G96" s="3">
        <f t="shared" si="3"/>
        <v>78587</v>
      </c>
    </row>
    <row r="97" spans="1:7">
      <c r="A97" s="2">
        <v>46102</v>
      </c>
      <c r="B97" t="s">
        <v>118</v>
      </c>
      <c r="C97" t="s">
        <v>579</v>
      </c>
      <c r="D97" s="3">
        <v>2880</v>
      </c>
      <c r="E97" s="2">
        <v>46102</v>
      </c>
      <c r="F97">
        <f t="shared" ca="1" si="2"/>
        <v>133</v>
      </c>
      <c r="G97" s="3">
        <f t="shared" si="3"/>
        <v>158534</v>
      </c>
    </row>
    <row r="98" spans="1:7">
      <c r="A98" s="2">
        <v>46104</v>
      </c>
      <c r="B98" t="s">
        <v>108</v>
      </c>
      <c r="C98" t="s">
        <v>539</v>
      </c>
      <c r="D98" s="3">
        <v>7800</v>
      </c>
      <c r="E98" s="2">
        <v>46104</v>
      </c>
      <c r="F98">
        <f t="shared" ca="1" si="2"/>
        <v>131</v>
      </c>
      <c r="G98" s="3">
        <f t="shared" si="3"/>
        <v>7800</v>
      </c>
    </row>
    <row r="99" spans="1:7">
      <c r="A99" s="2">
        <v>46105</v>
      </c>
      <c r="B99" t="s">
        <v>120</v>
      </c>
      <c r="C99" t="s">
        <v>598</v>
      </c>
      <c r="D99" s="3">
        <v>1315</v>
      </c>
      <c r="E99" s="2">
        <v>46105</v>
      </c>
      <c r="F99">
        <f t="shared" ca="1" si="2"/>
        <v>130</v>
      </c>
      <c r="G99" s="3">
        <f t="shared" si="3"/>
        <v>109542</v>
      </c>
    </row>
    <row r="100" spans="1:7">
      <c r="A100" s="2">
        <v>46106</v>
      </c>
      <c r="B100" t="s">
        <v>120</v>
      </c>
      <c r="C100" t="s">
        <v>599</v>
      </c>
      <c r="D100" s="3">
        <v>4680</v>
      </c>
      <c r="E100" s="2">
        <v>46106</v>
      </c>
      <c r="F100">
        <f t="shared" ca="1" si="2"/>
        <v>129</v>
      </c>
      <c r="G100" s="3">
        <f t="shared" si="3"/>
        <v>109542</v>
      </c>
    </row>
    <row r="101" spans="1:7">
      <c r="A101" s="2">
        <v>46109</v>
      </c>
      <c r="B101" t="s">
        <v>15</v>
      </c>
      <c r="C101" t="s">
        <v>162</v>
      </c>
      <c r="D101" s="3">
        <v>249</v>
      </c>
      <c r="E101" s="2">
        <v>46109</v>
      </c>
      <c r="F101">
        <f t="shared" ca="1" si="2"/>
        <v>126</v>
      </c>
      <c r="G101" s="3">
        <f t="shared" si="3"/>
        <v>119404</v>
      </c>
    </row>
    <row r="102" spans="1:7">
      <c r="A102" s="2">
        <v>46109</v>
      </c>
      <c r="B102" t="s">
        <v>26</v>
      </c>
      <c r="C102" t="s">
        <v>231</v>
      </c>
      <c r="D102" s="3">
        <v>3574</v>
      </c>
      <c r="E102" s="2">
        <v>46109</v>
      </c>
      <c r="F102">
        <f t="shared" ca="1" si="2"/>
        <v>126</v>
      </c>
      <c r="G102" s="3">
        <f t="shared" si="3"/>
        <v>23286</v>
      </c>
    </row>
    <row r="103" spans="1:7">
      <c r="A103" s="2">
        <v>46109</v>
      </c>
      <c r="B103" t="s">
        <v>92</v>
      </c>
      <c r="C103" t="s">
        <v>473</v>
      </c>
      <c r="D103" s="3">
        <v>223</v>
      </c>
      <c r="E103" s="2">
        <v>46109</v>
      </c>
      <c r="F103">
        <f t="shared" ca="1" si="2"/>
        <v>126</v>
      </c>
      <c r="G103" s="3">
        <f t="shared" si="3"/>
        <v>58985</v>
      </c>
    </row>
    <row r="104" spans="1:7">
      <c r="A104" s="2">
        <v>46109</v>
      </c>
      <c r="B104" t="s">
        <v>106</v>
      </c>
      <c r="C104" t="s">
        <v>527</v>
      </c>
      <c r="D104" s="3">
        <v>8353</v>
      </c>
      <c r="E104" s="2">
        <v>46109</v>
      </c>
      <c r="F104">
        <f t="shared" ca="1" si="2"/>
        <v>126</v>
      </c>
      <c r="G104" s="3">
        <f t="shared" si="3"/>
        <v>16423</v>
      </c>
    </row>
    <row r="105" spans="1:7">
      <c r="A105" s="2">
        <v>46109</v>
      </c>
      <c r="B105" t="s">
        <v>114</v>
      </c>
      <c r="C105" t="s">
        <v>549</v>
      </c>
      <c r="D105" s="3">
        <v>962</v>
      </c>
      <c r="E105" s="2">
        <v>46109</v>
      </c>
      <c r="F105">
        <f t="shared" ca="1" si="2"/>
        <v>126</v>
      </c>
      <c r="G105" s="3">
        <f t="shared" si="3"/>
        <v>14037</v>
      </c>
    </row>
    <row r="106" spans="1:7">
      <c r="A106" s="2">
        <v>46109</v>
      </c>
      <c r="B106" t="s">
        <v>120</v>
      </c>
      <c r="C106" t="s">
        <v>600</v>
      </c>
      <c r="D106" s="3">
        <v>700</v>
      </c>
      <c r="E106" s="2">
        <v>46109</v>
      </c>
      <c r="F106">
        <f t="shared" ca="1" si="2"/>
        <v>126</v>
      </c>
      <c r="G106" s="3">
        <f t="shared" si="3"/>
        <v>109542</v>
      </c>
    </row>
    <row r="107" spans="1:7">
      <c r="A107" s="2">
        <v>46113</v>
      </c>
      <c r="B107" t="s">
        <v>79</v>
      </c>
      <c r="C107" t="s">
        <v>440</v>
      </c>
      <c r="D107" s="3">
        <v>34668</v>
      </c>
      <c r="E107" s="2">
        <v>46113</v>
      </c>
      <c r="F107">
        <f t="shared" ca="1" si="2"/>
        <v>122</v>
      </c>
      <c r="G107" s="3">
        <f t="shared" si="3"/>
        <v>108563</v>
      </c>
    </row>
    <row r="108" spans="1:7">
      <c r="A108" s="2">
        <v>46114</v>
      </c>
      <c r="B108" t="s">
        <v>24</v>
      </c>
      <c r="C108" t="s">
        <v>203</v>
      </c>
      <c r="D108" s="3">
        <v>12600</v>
      </c>
      <c r="E108" s="2">
        <v>46114</v>
      </c>
      <c r="F108">
        <f t="shared" ca="1" si="2"/>
        <v>121</v>
      </c>
      <c r="G108" s="3">
        <f t="shared" si="3"/>
        <v>41253</v>
      </c>
    </row>
    <row r="109" spans="1:7">
      <c r="A109" s="2">
        <v>46116</v>
      </c>
      <c r="B109" t="s">
        <v>15</v>
      </c>
      <c r="C109" t="s">
        <v>163</v>
      </c>
      <c r="D109" s="3">
        <v>13500</v>
      </c>
      <c r="E109" s="2">
        <v>46116</v>
      </c>
      <c r="F109">
        <f t="shared" ca="1" si="2"/>
        <v>119</v>
      </c>
      <c r="G109" s="3">
        <f t="shared" si="3"/>
        <v>119404</v>
      </c>
    </row>
    <row r="110" spans="1:7">
      <c r="A110" s="2">
        <v>46116</v>
      </c>
      <c r="B110" t="s">
        <v>25</v>
      </c>
      <c r="C110" t="s">
        <v>210</v>
      </c>
      <c r="D110" s="3">
        <v>933</v>
      </c>
      <c r="E110" s="2">
        <v>46116</v>
      </c>
      <c r="F110">
        <f t="shared" ca="1" si="2"/>
        <v>119</v>
      </c>
      <c r="G110" s="3">
        <f t="shared" si="3"/>
        <v>92608</v>
      </c>
    </row>
    <row r="111" spans="1:7">
      <c r="A111" s="2">
        <v>46116</v>
      </c>
      <c r="B111" t="s">
        <v>30</v>
      </c>
      <c r="C111" t="s">
        <v>262</v>
      </c>
      <c r="D111" s="3">
        <v>2640</v>
      </c>
      <c r="E111" s="2">
        <v>46116</v>
      </c>
      <c r="F111">
        <f t="shared" ca="1" si="2"/>
        <v>119</v>
      </c>
      <c r="G111" s="3">
        <f t="shared" si="3"/>
        <v>238111</v>
      </c>
    </row>
    <row r="112" spans="1:7">
      <c r="A112" s="2">
        <v>46116</v>
      </c>
      <c r="B112" t="s">
        <v>39</v>
      </c>
      <c r="C112" t="s">
        <v>297</v>
      </c>
      <c r="D112" s="3">
        <v>5316</v>
      </c>
      <c r="E112" s="2">
        <v>46116</v>
      </c>
      <c r="F112">
        <f t="shared" ca="1" si="2"/>
        <v>119</v>
      </c>
      <c r="G112" s="3">
        <f t="shared" si="3"/>
        <v>53111</v>
      </c>
    </row>
    <row r="113" spans="1:7">
      <c r="A113" s="2">
        <v>46116</v>
      </c>
      <c r="B113" t="s">
        <v>97</v>
      </c>
      <c r="C113" t="s">
        <v>491</v>
      </c>
      <c r="D113" s="3">
        <v>189</v>
      </c>
      <c r="E113" s="2">
        <v>46116</v>
      </c>
      <c r="F113">
        <f t="shared" ca="1" si="2"/>
        <v>119</v>
      </c>
      <c r="G113" s="3">
        <f t="shared" si="3"/>
        <v>22276</v>
      </c>
    </row>
    <row r="114" spans="1:7">
      <c r="A114" s="2">
        <v>46116</v>
      </c>
      <c r="B114" t="s">
        <v>114</v>
      </c>
      <c r="C114" t="s">
        <v>550</v>
      </c>
      <c r="D114" s="3">
        <v>800</v>
      </c>
      <c r="E114" s="2">
        <v>46116</v>
      </c>
      <c r="F114">
        <f t="shared" ca="1" si="2"/>
        <v>119</v>
      </c>
      <c r="G114" s="3">
        <f t="shared" si="3"/>
        <v>14037</v>
      </c>
    </row>
    <row r="115" spans="1:7">
      <c r="A115" s="2">
        <v>46116</v>
      </c>
      <c r="B115" t="s">
        <v>131</v>
      </c>
      <c r="C115" t="s">
        <v>659</v>
      </c>
      <c r="D115" s="3">
        <v>22323</v>
      </c>
      <c r="E115" s="2">
        <v>46116</v>
      </c>
      <c r="F115">
        <f t="shared" ca="1" si="2"/>
        <v>119</v>
      </c>
      <c r="G115" s="3">
        <f t="shared" si="3"/>
        <v>86975</v>
      </c>
    </row>
    <row r="116" spans="1:7">
      <c r="A116" s="2">
        <v>46118</v>
      </c>
      <c r="B116" t="s">
        <v>30</v>
      </c>
      <c r="C116" t="s">
        <v>263</v>
      </c>
      <c r="D116" s="3">
        <v>4400</v>
      </c>
      <c r="E116" s="2">
        <v>46118</v>
      </c>
      <c r="F116">
        <f t="shared" ca="1" si="2"/>
        <v>117</v>
      </c>
      <c r="G116" s="3">
        <f t="shared" si="3"/>
        <v>238111</v>
      </c>
    </row>
    <row r="117" spans="1:7">
      <c r="A117" s="2">
        <v>46118</v>
      </c>
      <c r="B117" t="s">
        <v>118</v>
      </c>
      <c r="C117" t="s">
        <v>580</v>
      </c>
      <c r="D117" s="3">
        <v>2945</v>
      </c>
      <c r="E117" s="2">
        <v>46118</v>
      </c>
      <c r="F117">
        <f t="shared" ca="1" si="2"/>
        <v>117</v>
      </c>
      <c r="G117" s="3">
        <f t="shared" si="3"/>
        <v>158534</v>
      </c>
    </row>
    <row r="118" spans="1:7">
      <c r="A118" s="2">
        <v>46119</v>
      </c>
      <c r="B118" t="s">
        <v>101</v>
      </c>
      <c r="C118" t="s">
        <v>516</v>
      </c>
      <c r="D118" s="3">
        <v>880</v>
      </c>
      <c r="E118" s="2">
        <v>46119</v>
      </c>
      <c r="F118">
        <f t="shared" ca="1" si="2"/>
        <v>116</v>
      </c>
      <c r="G118" s="3">
        <f t="shared" si="3"/>
        <v>11900</v>
      </c>
    </row>
    <row r="119" spans="1:7">
      <c r="A119" s="2">
        <v>46119</v>
      </c>
      <c r="B119" t="s">
        <v>118</v>
      </c>
      <c r="C119" t="s">
        <v>581</v>
      </c>
      <c r="D119" s="3">
        <v>2800</v>
      </c>
      <c r="E119" s="2">
        <v>46119</v>
      </c>
      <c r="F119">
        <f t="shared" ca="1" si="2"/>
        <v>116</v>
      </c>
      <c r="G119" s="3">
        <f t="shared" si="3"/>
        <v>158534</v>
      </c>
    </row>
    <row r="120" spans="1:7">
      <c r="A120" s="2">
        <v>46120</v>
      </c>
      <c r="B120" t="s">
        <v>21</v>
      </c>
      <c r="C120" t="s">
        <v>191</v>
      </c>
      <c r="D120" s="3">
        <v>6138</v>
      </c>
      <c r="E120" s="2">
        <v>46120</v>
      </c>
      <c r="F120">
        <f t="shared" ca="1" si="2"/>
        <v>115</v>
      </c>
      <c r="G120" s="3">
        <f t="shared" si="3"/>
        <v>52708</v>
      </c>
    </row>
    <row r="121" spans="1:7">
      <c r="A121" s="2">
        <v>46122</v>
      </c>
      <c r="B121" t="s">
        <v>25</v>
      </c>
      <c r="C121" t="s">
        <v>211</v>
      </c>
      <c r="D121" s="3">
        <v>14318</v>
      </c>
      <c r="E121" s="2">
        <v>46122</v>
      </c>
      <c r="F121">
        <f t="shared" ca="1" si="2"/>
        <v>113</v>
      </c>
      <c r="G121" s="3">
        <f t="shared" si="3"/>
        <v>92608</v>
      </c>
    </row>
    <row r="122" spans="1:7">
      <c r="A122" s="2">
        <v>46122</v>
      </c>
      <c r="B122" t="s">
        <v>43</v>
      </c>
      <c r="C122" t="s">
        <v>325</v>
      </c>
      <c r="D122" s="3">
        <v>28320</v>
      </c>
      <c r="E122" s="2">
        <v>46122</v>
      </c>
      <c r="F122">
        <f t="shared" ca="1" si="2"/>
        <v>113</v>
      </c>
      <c r="G122" s="3">
        <f t="shared" si="3"/>
        <v>68959</v>
      </c>
    </row>
    <row r="123" spans="1:7">
      <c r="A123" s="2">
        <v>46122</v>
      </c>
      <c r="B123" t="s">
        <v>100</v>
      </c>
      <c r="C123" t="s">
        <v>506</v>
      </c>
      <c r="D123" s="3">
        <v>3201</v>
      </c>
      <c r="E123" s="2">
        <v>46122</v>
      </c>
      <c r="F123">
        <f t="shared" ca="1" si="2"/>
        <v>113</v>
      </c>
      <c r="G123" s="3">
        <f t="shared" si="3"/>
        <v>61020</v>
      </c>
    </row>
    <row r="124" spans="1:7">
      <c r="A124" s="2">
        <v>46123</v>
      </c>
      <c r="B124" t="s">
        <v>16</v>
      </c>
      <c r="C124" t="s">
        <v>174</v>
      </c>
      <c r="D124" s="3">
        <v>1770</v>
      </c>
      <c r="E124" s="2">
        <v>46123</v>
      </c>
      <c r="F124">
        <f t="shared" ca="1" si="2"/>
        <v>112</v>
      </c>
      <c r="G124" s="3">
        <f t="shared" si="3"/>
        <v>7965</v>
      </c>
    </row>
    <row r="125" spans="1:7">
      <c r="A125" s="2">
        <v>46123</v>
      </c>
      <c r="B125" t="s">
        <v>20</v>
      </c>
      <c r="C125" t="s">
        <v>186</v>
      </c>
      <c r="D125" s="3">
        <v>2491</v>
      </c>
      <c r="E125" s="2">
        <v>46123</v>
      </c>
      <c r="F125">
        <f t="shared" ca="1" si="2"/>
        <v>112</v>
      </c>
      <c r="G125" s="3">
        <f t="shared" si="3"/>
        <v>10155</v>
      </c>
    </row>
    <row r="126" spans="1:7">
      <c r="A126" s="2">
        <v>46123</v>
      </c>
      <c r="B126" t="s">
        <v>30</v>
      </c>
      <c r="C126" t="s">
        <v>264</v>
      </c>
      <c r="D126" s="3">
        <v>10900</v>
      </c>
      <c r="E126" s="2">
        <v>46123</v>
      </c>
      <c r="F126">
        <f t="shared" ca="1" si="2"/>
        <v>112</v>
      </c>
      <c r="G126" s="3">
        <f t="shared" si="3"/>
        <v>238111</v>
      </c>
    </row>
    <row r="127" spans="1:7">
      <c r="A127" s="2">
        <v>46125</v>
      </c>
      <c r="B127" t="s">
        <v>24</v>
      </c>
      <c r="C127" t="s">
        <v>204</v>
      </c>
      <c r="D127" s="3">
        <v>4200</v>
      </c>
      <c r="E127" s="2">
        <v>46125</v>
      </c>
      <c r="F127">
        <f t="shared" ca="1" si="2"/>
        <v>110</v>
      </c>
      <c r="G127" s="3">
        <f t="shared" si="3"/>
        <v>41253</v>
      </c>
    </row>
    <row r="128" spans="1:7">
      <c r="A128" s="2">
        <v>46125</v>
      </c>
      <c r="B128" t="s">
        <v>24</v>
      </c>
      <c r="C128" t="s">
        <v>205</v>
      </c>
      <c r="D128" s="3">
        <v>4200</v>
      </c>
      <c r="E128" s="2">
        <v>46125</v>
      </c>
      <c r="F128">
        <f t="shared" ca="1" si="2"/>
        <v>110</v>
      </c>
      <c r="G128" s="3">
        <f t="shared" si="3"/>
        <v>41253</v>
      </c>
    </row>
    <row r="129" spans="1:7">
      <c r="A129" s="2">
        <v>46125</v>
      </c>
      <c r="B129" t="s">
        <v>122</v>
      </c>
      <c r="C129" t="s">
        <v>617</v>
      </c>
      <c r="D129" s="3">
        <v>6183</v>
      </c>
      <c r="E129" s="2">
        <v>46125</v>
      </c>
      <c r="F129">
        <f t="shared" ca="1" si="2"/>
        <v>110</v>
      </c>
      <c r="G129" s="3">
        <f t="shared" si="3"/>
        <v>22615</v>
      </c>
    </row>
    <row r="130" spans="1:7">
      <c r="A130" s="2">
        <v>46127</v>
      </c>
      <c r="B130" t="s">
        <v>20</v>
      </c>
      <c r="C130" t="s">
        <v>187</v>
      </c>
      <c r="D130" s="3">
        <v>1258</v>
      </c>
      <c r="E130" s="2">
        <v>46127</v>
      </c>
      <c r="F130">
        <f t="shared" ca="1" si="2"/>
        <v>108</v>
      </c>
      <c r="G130" s="3">
        <f t="shared" si="3"/>
        <v>10155</v>
      </c>
    </row>
    <row r="131" spans="1:7">
      <c r="A131" s="2">
        <v>46127</v>
      </c>
      <c r="B131" t="s">
        <v>24</v>
      </c>
      <c r="C131" t="s">
        <v>206</v>
      </c>
      <c r="D131" s="3">
        <v>180</v>
      </c>
      <c r="E131" s="2">
        <v>46127</v>
      </c>
      <c r="F131">
        <f t="shared" ca="1" si="2"/>
        <v>108</v>
      </c>
      <c r="G131" s="3">
        <f t="shared" si="3"/>
        <v>41253</v>
      </c>
    </row>
    <row r="132" spans="1:7">
      <c r="A132" s="2">
        <v>46127</v>
      </c>
      <c r="B132" t="s">
        <v>24</v>
      </c>
      <c r="C132" t="s">
        <v>207</v>
      </c>
      <c r="D132" s="3">
        <v>12600</v>
      </c>
      <c r="E132" s="2">
        <v>46127</v>
      </c>
      <c r="F132">
        <f t="shared" ca="1" si="2"/>
        <v>108</v>
      </c>
      <c r="G132" s="3">
        <f t="shared" si="3"/>
        <v>41253</v>
      </c>
    </row>
    <row r="133" spans="1:7">
      <c r="A133" s="2">
        <v>46128</v>
      </c>
      <c r="B133" t="s">
        <v>24</v>
      </c>
      <c r="C133" t="s">
        <v>208</v>
      </c>
      <c r="D133" s="3">
        <v>473</v>
      </c>
      <c r="E133" s="2">
        <v>46128</v>
      </c>
      <c r="F133">
        <f t="shared" ref="F133:F196" ca="1" si="4">TODAY()-E133</f>
        <v>107</v>
      </c>
      <c r="G133" s="3">
        <f t="shared" ref="G133:G196" si="5">SUMIF($B$5:$B$563,B133,$D$5:$D$563)</f>
        <v>41253</v>
      </c>
    </row>
    <row r="134" spans="1:7">
      <c r="A134" s="2">
        <v>46128</v>
      </c>
      <c r="B134" t="s">
        <v>32</v>
      </c>
      <c r="C134" t="s">
        <v>282</v>
      </c>
      <c r="D134" s="3">
        <v>1127</v>
      </c>
      <c r="E134" s="2">
        <v>46128</v>
      </c>
      <c r="F134">
        <f t="shared" ca="1" si="4"/>
        <v>107</v>
      </c>
      <c r="G134" s="3">
        <f t="shared" si="5"/>
        <v>2464</v>
      </c>
    </row>
    <row r="135" spans="1:7">
      <c r="A135" s="2">
        <v>46133</v>
      </c>
      <c r="B135" t="s">
        <v>78</v>
      </c>
      <c r="C135" t="s">
        <v>435</v>
      </c>
      <c r="D135" s="3">
        <v>15000</v>
      </c>
      <c r="E135" s="2">
        <v>46133</v>
      </c>
      <c r="F135">
        <f t="shared" ca="1" si="4"/>
        <v>102</v>
      </c>
      <c r="G135" s="3">
        <f t="shared" si="5"/>
        <v>28750</v>
      </c>
    </row>
    <row r="136" spans="1:7">
      <c r="A136" s="2">
        <v>46133</v>
      </c>
      <c r="B136" t="s">
        <v>100</v>
      </c>
      <c r="C136" t="s">
        <v>507</v>
      </c>
      <c r="D136" s="3">
        <v>9956</v>
      </c>
      <c r="E136" s="2">
        <v>46133</v>
      </c>
      <c r="F136">
        <f t="shared" ca="1" si="4"/>
        <v>102</v>
      </c>
      <c r="G136" s="3">
        <f t="shared" si="5"/>
        <v>61020</v>
      </c>
    </row>
    <row r="137" spans="1:7">
      <c r="A137" s="2">
        <v>46136</v>
      </c>
      <c r="B137" t="s">
        <v>39</v>
      </c>
      <c r="C137" t="s">
        <v>298</v>
      </c>
      <c r="D137" s="3">
        <v>7296</v>
      </c>
      <c r="E137" s="2">
        <v>46136</v>
      </c>
      <c r="F137">
        <f t="shared" ca="1" si="4"/>
        <v>99</v>
      </c>
      <c r="G137" s="3">
        <f t="shared" si="5"/>
        <v>53111</v>
      </c>
    </row>
    <row r="138" spans="1:7">
      <c r="A138" s="2">
        <v>46136</v>
      </c>
      <c r="B138" t="s">
        <v>73</v>
      </c>
      <c r="C138" t="s">
        <v>425</v>
      </c>
      <c r="D138" s="3">
        <v>1623</v>
      </c>
      <c r="E138" s="2">
        <v>46136</v>
      </c>
      <c r="F138">
        <f t="shared" ca="1" si="4"/>
        <v>99</v>
      </c>
      <c r="G138" s="3">
        <f t="shared" si="5"/>
        <v>1623</v>
      </c>
    </row>
    <row r="139" spans="1:7">
      <c r="A139" s="2">
        <v>46136</v>
      </c>
      <c r="B139" t="s">
        <v>100</v>
      </c>
      <c r="C139" t="s">
        <v>508</v>
      </c>
      <c r="D139" s="3">
        <v>5250</v>
      </c>
      <c r="E139" s="2">
        <v>46136</v>
      </c>
      <c r="F139">
        <f t="shared" ca="1" si="4"/>
        <v>99</v>
      </c>
      <c r="G139" s="3">
        <f t="shared" si="5"/>
        <v>61020</v>
      </c>
    </row>
    <row r="140" spans="1:7">
      <c r="A140" s="2">
        <v>46137</v>
      </c>
      <c r="B140" t="s">
        <v>15</v>
      </c>
      <c r="C140" t="s">
        <v>164</v>
      </c>
      <c r="D140" s="3">
        <v>1180</v>
      </c>
      <c r="E140" s="2">
        <v>46137</v>
      </c>
      <c r="F140">
        <f t="shared" ca="1" si="4"/>
        <v>98</v>
      </c>
      <c r="G140" s="3">
        <f t="shared" si="5"/>
        <v>119404</v>
      </c>
    </row>
    <row r="141" spans="1:7">
      <c r="A141" s="2">
        <v>46137</v>
      </c>
      <c r="B141" t="s">
        <v>25</v>
      </c>
      <c r="C141" t="s">
        <v>212</v>
      </c>
      <c r="D141" s="3">
        <v>449</v>
      </c>
      <c r="E141" s="2">
        <v>46137</v>
      </c>
      <c r="F141">
        <f t="shared" ca="1" si="4"/>
        <v>98</v>
      </c>
      <c r="G141" s="3">
        <f t="shared" si="5"/>
        <v>92608</v>
      </c>
    </row>
    <row r="142" spans="1:7">
      <c r="A142" s="2">
        <v>46137</v>
      </c>
      <c r="B142" t="s">
        <v>26</v>
      </c>
      <c r="C142" t="s">
        <v>232</v>
      </c>
      <c r="D142" s="3">
        <v>1726</v>
      </c>
      <c r="E142" s="2">
        <v>46137</v>
      </c>
      <c r="F142">
        <f t="shared" ca="1" si="4"/>
        <v>98</v>
      </c>
      <c r="G142" s="3">
        <f t="shared" si="5"/>
        <v>23286</v>
      </c>
    </row>
    <row r="143" spans="1:7">
      <c r="A143" s="2">
        <v>46137</v>
      </c>
      <c r="B143" t="s">
        <v>30</v>
      </c>
      <c r="C143" t="s">
        <v>265</v>
      </c>
      <c r="D143" s="3">
        <v>7949</v>
      </c>
      <c r="E143" s="2">
        <v>46137</v>
      </c>
      <c r="F143">
        <f t="shared" ca="1" si="4"/>
        <v>98</v>
      </c>
      <c r="G143" s="3">
        <f t="shared" si="5"/>
        <v>238111</v>
      </c>
    </row>
    <row r="144" spans="1:7">
      <c r="A144" s="2">
        <v>46137</v>
      </c>
      <c r="B144" t="s">
        <v>30</v>
      </c>
      <c r="C144" t="s">
        <v>266</v>
      </c>
      <c r="D144" s="3">
        <v>30000</v>
      </c>
      <c r="E144" s="2">
        <v>46137</v>
      </c>
      <c r="F144">
        <f t="shared" ca="1" si="4"/>
        <v>98</v>
      </c>
      <c r="G144" s="3">
        <f t="shared" si="5"/>
        <v>238111</v>
      </c>
    </row>
    <row r="145" spans="1:7">
      <c r="A145" s="2">
        <v>46137</v>
      </c>
      <c r="B145" t="s">
        <v>92</v>
      </c>
      <c r="C145" t="s">
        <v>474</v>
      </c>
      <c r="D145" s="3">
        <v>4000</v>
      </c>
      <c r="E145" s="2">
        <v>46137</v>
      </c>
      <c r="F145">
        <f t="shared" ca="1" si="4"/>
        <v>98</v>
      </c>
      <c r="G145" s="3">
        <f t="shared" si="5"/>
        <v>58985</v>
      </c>
    </row>
    <row r="146" spans="1:7">
      <c r="A146" s="2">
        <v>46137</v>
      </c>
      <c r="B146" t="s">
        <v>114</v>
      </c>
      <c r="C146" t="s">
        <v>551</v>
      </c>
      <c r="D146" s="3">
        <v>250</v>
      </c>
      <c r="E146" s="2">
        <v>46137</v>
      </c>
      <c r="F146">
        <f t="shared" ca="1" si="4"/>
        <v>98</v>
      </c>
      <c r="G146" s="3">
        <f t="shared" si="5"/>
        <v>14037</v>
      </c>
    </row>
    <row r="147" spans="1:7">
      <c r="A147" s="2">
        <v>46139</v>
      </c>
      <c r="B147" t="s">
        <v>100</v>
      </c>
      <c r="C147" t="s">
        <v>509</v>
      </c>
      <c r="D147" s="3">
        <v>4830</v>
      </c>
      <c r="E147" s="2">
        <v>46139</v>
      </c>
      <c r="F147">
        <f t="shared" ca="1" si="4"/>
        <v>96</v>
      </c>
      <c r="G147" s="3">
        <f t="shared" si="5"/>
        <v>61020</v>
      </c>
    </row>
    <row r="148" spans="1:7">
      <c r="A148" s="2">
        <v>46140</v>
      </c>
      <c r="B148" t="s">
        <v>115</v>
      </c>
      <c r="C148" t="s">
        <v>559</v>
      </c>
      <c r="D148" s="3">
        <v>255</v>
      </c>
      <c r="E148" s="2">
        <v>46140</v>
      </c>
      <c r="F148">
        <f t="shared" ca="1" si="4"/>
        <v>95</v>
      </c>
      <c r="G148" s="3">
        <f t="shared" si="5"/>
        <v>594</v>
      </c>
    </row>
    <row r="149" spans="1:7">
      <c r="A149" s="2">
        <v>46140</v>
      </c>
      <c r="B149" t="s">
        <v>131</v>
      </c>
      <c r="C149" t="s">
        <v>660</v>
      </c>
      <c r="D149" s="3">
        <v>3801</v>
      </c>
      <c r="E149" s="2">
        <v>46140</v>
      </c>
      <c r="F149">
        <f t="shared" ca="1" si="4"/>
        <v>95</v>
      </c>
      <c r="G149" s="3">
        <f t="shared" si="5"/>
        <v>86975</v>
      </c>
    </row>
    <row r="150" spans="1:7">
      <c r="A150" s="2">
        <v>46141</v>
      </c>
      <c r="B150" t="s">
        <v>39</v>
      </c>
      <c r="C150" t="s">
        <v>299</v>
      </c>
      <c r="D150" s="3">
        <v>8832</v>
      </c>
      <c r="E150" s="2">
        <v>46141</v>
      </c>
      <c r="F150">
        <f t="shared" ca="1" si="4"/>
        <v>94</v>
      </c>
      <c r="G150" s="3">
        <f t="shared" si="5"/>
        <v>53111</v>
      </c>
    </row>
    <row r="151" spans="1:7">
      <c r="A151" s="2">
        <v>46141</v>
      </c>
      <c r="B151" t="s">
        <v>100</v>
      </c>
      <c r="C151" t="s">
        <v>510</v>
      </c>
      <c r="D151" s="3">
        <v>9240</v>
      </c>
      <c r="E151" s="2">
        <v>46141</v>
      </c>
      <c r="F151">
        <f t="shared" ca="1" si="4"/>
        <v>94</v>
      </c>
      <c r="G151" s="3">
        <f t="shared" si="5"/>
        <v>61020</v>
      </c>
    </row>
    <row r="152" spans="1:7">
      <c r="A152" s="2">
        <v>46144</v>
      </c>
      <c r="B152" t="s">
        <v>20</v>
      </c>
      <c r="C152" t="s">
        <v>188</v>
      </c>
      <c r="D152" s="3">
        <v>730</v>
      </c>
      <c r="E152" s="2">
        <v>46144</v>
      </c>
      <c r="F152">
        <f t="shared" ca="1" si="4"/>
        <v>91</v>
      </c>
      <c r="G152" s="3">
        <f t="shared" si="5"/>
        <v>10155</v>
      </c>
    </row>
    <row r="153" spans="1:7">
      <c r="A153" s="2">
        <v>46144</v>
      </c>
      <c r="B153" t="s">
        <v>25</v>
      </c>
      <c r="C153" t="s">
        <v>213</v>
      </c>
      <c r="D153" s="3">
        <v>2260</v>
      </c>
      <c r="E153" s="2">
        <v>46144</v>
      </c>
      <c r="F153">
        <f t="shared" ca="1" si="4"/>
        <v>91</v>
      </c>
      <c r="G153" s="3">
        <f t="shared" si="5"/>
        <v>92608</v>
      </c>
    </row>
    <row r="154" spans="1:7">
      <c r="A154" s="2">
        <v>46144</v>
      </c>
      <c r="B154" t="s">
        <v>25</v>
      </c>
      <c r="C154" t="s">
        <v>214</v>
      </c>
      <c r="D154" s="3">
        <v>7300</v>
      </c>
      <c r="E154" s="2">
        <v>46144</v>
      </c>
      <c r="F154">
        <f t="shared" ca="1" si="4"/>
        <v>91</v>
      </c>
      <c r="G154" s="3">
        <f t="shared" si="5"/>
        <v>92608</v>
      </c>
    </row>
    <row r="155" spans="1:7">
      <c r="A155" s="2">
        <v>46144</v>
      </c>
      <c r="B155" t="s">
        <v>30</v>
      </c>
      <c r="C155" t="s">
        <v>267</v>
      </c>
      <c r="D155" s="3">
        <v>16750</v>
      </c>
      <c r="E155" s="2">
        <v>46144</v>
      </c>
      <c r="F155">
        <f t="shared" ca="1" si="4"/>
        <v>91</v>
      </c>
      <c r="G155" s="3">
        <f t="shared" si="5"/>
        <v>238111</v>
      </c>
    </row>
    <row r="156" spans="1:7">
      <c r="A156" s="2">
        <v>46144</v>
      </c>
      <c r="B156" t="s">
        <v>72</v>
      </c>
      <c r="C156" t="s">
        <v>414</v>
      </c>
      <c r="D156" s="3">
        <v>4000</v>
      </c>
      <c r="E156" s="2">
        <v>46144</v>
      </c>
      <c r="F156">
        <f t="shared" ca="1" si="4"/>
        <v>91</v>
      </c>
      <c r="G156" s="3">
        <f t="shared" si="5"/>
        <v>112332</v>
      </c>
    </row>
    <row r="157" spans="1:7">
      <c r="A157" s="2">
        <v>46144</v>
      </c>
      <c r="B157" t="s">
        <v>97</v>
      </c>
      <c r="C157" t="s">
        <v>492</v>
      </c>
      <c r="D157" s="3">
        <v>1037</v>
      </c>
      <c r="E157" s="2">
        <v>46144</v>
      </c>
      <c r="F157">
        <f t="shared" ca="1" si="4"/>
        <v>91</v>
      </c>
      <c r="G157" s="3">
        <f t="shared" si="5"/>
        <v>22276</v>
      </c>
    </row>
    <row r="158" spans="1:7">
      <c r="A158" s="2">
        <v>46144</v>
      </c>
      <c r="B158" t="s">
        <v>114</v>
      </c>
      <c r="C158" t="s">
        <v>552</v>
      </c>
      <c r="D158" s="3">
        <v>765</v>
      </c>
      <c r="E158" s="2">
        <v>46144</v>
      </c>
      <c r="F158">
        <f t="shared" ca="1" si="4"/>
        <v>91</v>
      </c>
      <c r="G158" s="3">
        <f t="shared" si="5"/>
        <v>14037</v>
      </c>
    </row>
    <row r="159" spans="1:7">
      <c r="A159" s="2">
        <v>46144</v>
      </c>
      <c r="B159" t="s">
        <v>131</v>
      </c>
      <c r="C159" t="s">
        <v>661</v>
      </c>
      <c r="D159" s="3">
        <v>17463</v>
      </c>
      <c r="E159" s="2">
        <v>46144</v>
      </c>
      <c r="F159">
        <f t="shared" ca="1" si="4"/>
        <v>91</v>
      </c>
      <c r="G159" s="3">
        <f t="shared" si="5"/>
        <v>86975</v>
      </c>
    </row>
    <row r="160" spans="1:7">
      <c r="A160" s="2">
        <v>46147</v>
      </c>
      <c r="B160" t="s">
        <v>55</v>
      </c>
      <c r="C160" t="s">
        <v>370</v>
      </c>
      <c r="D160" s="3">
        <v>11144</v>
      </c>
      <c r="E160" s="2">
        <v>46147</v>
      </c>
      <c r="F160">
        <f t="shared" ca="1" si="4"/>
        <v>88</v>
      </c>
      <c r="G160" s="3">
        <f t="shared" si="5"/>
        <v>66432</v>
      </c>
    </row>
    <row r="161" spans="1:7">
      <c r="A161" s="2">
        <v>46147</v>
      </c>
      <c r="B161" t="s">
        <v>97</v>
      </c>
      <c r="C161" t="s">
        <v>493</v>
      </c>
      <c r="D161" s="3">
        <v>1196</v>
      </c>
      <c r="E161" s="2">
        <v>46147</v>
      </c>
      <c r="F161">
        <f t="shared" ca="1" si="4"/>
        <v>88</v>
      </c>
      <c r="G161" s="3">
        <f t="shared" si="5"/>
        <v>22276</v>
      </c>
    </row>
    <row r="162" spans="1:7">
      <c r="A162" s="2">
        <v>46148</v>
      </c>
      <c r="B162" t="s">
        <v>72</v>
      </c>
      <c r="C162" t="s">
        <v>415</v>
      </c>
      <c r="D162" s="3">
        <v>42010</v>
      </c>
      <c r="E162" s="2">
        <v>46148</v>
      </c>
      <c r="F162">
        <f t="shared" ca="1" si="4"/>
        <v>87</v>
      </c>
      <c r="G162" s="3">
        <f t="shared" si="5"/>
        <v>112332</v>
      </c>
    </row>
    <row r="163" spans="1:7">
      <c r="A163" s="2">
        <v>46149</v>
      </c>
      <c r="B163" t="s">
        <v>39</v>
      </c>
      <c r="C163" t="s">
        <v>300</v>
      </c>
      <c r="D163" s="3">
        <v>1138</v>
      </c>
      <c r="E163" s="2">
        <v>46149</v>
      </c>
      <c r="F163">
        <f t="shared" ca="1" si="4"/>
        <v>86</v>
      </c>
      <c r="G163" s="3">
        <f t="shared" si="5"/>
        <v>53111</v>
      </c>
    </row>
    <row r="164" spans="1:7">
      <c r="A164" s="2">
        <v>46150</v>
      </c>
      <c r="B164" t="s">
        <v>32</v>
      </c>
      <c r="C164" t="s">
        <v>283</v>
      </c>
      <c r="D164" s="3">
        <v>1112</v>
      </c>
      <c r="E164" s="2">
        <v>46150</v>
      </c>
      <c r="F164">
        <f t="shared" ca="1" si="4"/>
        <v>85</v>
      </c>
      <c r="G164" s="3">
        <f t="shared" si="5"/>
        <v>2464</v>
      </c>
    </row>
    <row r="165" spans="1:7">
      <c r="A165" s="2">
        <v>46150</v>
      </c>
      <c r="B165" t="s">
        <v>78</v>
      </c>
      <c r="C165" t="s">
        <v>436</v>
      </c>
      <c r="D165" s="3">
        <v>4200</v>
      </c>
      <c r="E165" s="2">
        <v>46150</v>
      </c>
      <c r="F165">
        <f t="shared" ca="1" si="4"/>
        <v>85</v>
      </c>
      <c r="G165" s="3">
        <f t="shared" si="5"/>
        <v>28750</v>
      </c>
    </row>
    <row r="166" spans="1:7">
      <c r="A166" s="2">
        <v>46151</v>
      </c>
      <c r="B166" t="s">
        <v>30</v>
      </c>
      <c r="C166" t="s">
        <v>268</v>
      </c>
      <c r="D166" s="3">
        <v>27598</v>
      </c>
      <c r="E166" s="2">
        <v>46151</v>
      </c>
      <c r="F166">
        <f t="shared" ca="1" si="4"/>
        <v>84</v>
      </c>
      <c r="G166" s="3">
        <f t="shared" si="5"/>
        <v>238111</v>
      </c>
    </row>
    <row r="167" spans="1:7">
      <c r="A167" s="2">
        <v>46151</v>
      </c>
      <c r="B167" t="s">
        <v>39</v>
      </c>
      <c r="C167" t="s">
        <v>301</v>
      </c>
      <c r="D167" s="3">
        <v>1559</v>
      </c>
      <c r="E167" s="2">
        <v>46151</v>
      </c>
      <c r="F167">
        <f t="shared" ca="1" si="4"/>
        <v>84</v>
      </c>
      <c r="G167" s="3">
        <f t="shared" si="5"/>
        <v>53111</v>
      </c>
    </row>
    <row r="168" spans="1:7">
      <c r="A168" s="2">
        <v>46151</v>
      </c>
      <c r="B168" t="s">
        <v>72</v>
      </c>
      <c r="C168" t="s">
        <v>416</v>
      </c>
      <c r="D168" s="3">
        <v>880</v>
      </c>
      <c r="E168" s="2">
        <v>46151</v>
      </c>
      <c r="F168">
        <f t="shared" ca="1" si="4"/>
        <v>84</v>
      </c>
      <c r="G168" s="3">
        <f t="shared" si="5"/>
        <v>112332</v>
      </c>
    </row>
    <row r="169" spans="1:7">
      <c r="A169" s="2">
        <v>46151</v>
      </c>
      <c r="B169" t="s">
        <v>79</v>
      </c>
      <c r="C169" t="s">
        <v>441</v>
      </c>
      <c r="D169" s="3">
        <v>23296</v>
      </c>
      <c r="E169" s="2">
        <v>46151</v>
      </c>
      <c r="F169">
        <f t="shared" ca="1" si="4"/>
        <v>84</v>
      </c>
      <c r="G169" s="3">
        <f t="shared" si="5"/>
        <v>108563</v>
      </c>
    </row>
    <row r="170" spans="1:7">
      <c r="A170" s="2">
        <v>46154</v>
      </c>
      <c r="B170" t="s">
        <v>53</v>
      </c>
      <c r="C170" t="s">
        <v>366</v>
      </c>
      <c r="D170" s="3">
        <v>1001</v>
      </c>
      <c r="E170" s="2">
        <v>46154</v>
      </c>
      <c r="F170">
        <f t="shared" ca="1" si="4"/>
        <v>81</v>
      </c>
      <c r="G170" s="3">
        <f t="shared" si="5"/>
        <v>1001</v>
      </c>
    </row>
    <row r="171" spans="1:7">
      <c r="A171" s="2">
        <v>46154</v>
      </c>
      <c r="B171" t="s">
        <v>72</v>
      </c>
      <c r="C171" t="s">
        <v>417</v>
      </c>
      <c r="D171" s="3">
        <v>14091</v>
      </c>
      <c r="E171" s="2">
        <v>46154</v>
      </c>
      <c r="F171">
        <f t="shared" ca="1" si="4"/>
        <v>81</v>
      </c>
      <c r="G171" s="3">
        <f t="shared" si="5"/>
        <v>112332</v>
      </c>
    </row>
    <row r="172" spans="1:7">
      <c r="A172" s="2">
        <v>46154</v>
      </c>
      <c r="B172" t="s">
        <v>92</v>
      </c>
      <c r="C172" t="s">
        <v>475</v>
      </c>
      <c r="D172" s="3">
        <v>2784</v>
      </c>
      <c r="E172" s="2">
        <v>46154</v>
      </c>
      <c r="F172">
        <f t="shared" ca="1" si="4"/>
        <v>81</v>
      </c>
      <c r="G172" s="3">
        <f t="shared" si="5"/>
        <v>58985</v>
      </c>
    </row>
    <row r="173" spans="1:7">
      <c r="A173" s="2">
        <v>46155</v>
      </c>
      <c r="B173" t="s">
        <v>97</v>
      </c>
      <c r="C173" t="s">
        <v>494</v>
      </c>
      <c r="D173" s="3">
        <v>1037</v>
      </c>
      <c r="E173" s="2">
        <v>46155</v>
      </c>
      <c r="F173">
        <f t="shared" ca="1" si="4"/>
        <v>80</v>
      </c>
      <c r="G173" s="3">
        <f t="shared" si="5"/>
        <v>22276</v>
      </c>
    </row>
    <row r="174" spans="1:7">
      <c r="A174" s="2">
        <v>46156</v>
      </c>
      <c r="B174" t="s">
        <v>20</v>
      </c>
      <c r="C174" t="s">
        <v>189</v>
      </c>
      <c r="D174" s="3">
        <v>365</v>
      </c>
      <c r="E174" s="2">
        <v>46156</v>
      </c>
      <c r="F174">
        <f t="shared" ca="1" si="4"/>
        <v>79</v>
      </c>
      <c r="G174" s="3">
        <f t="shared" si="5"/>
        <v>10155</v>
      </c>
    </row>
    <row r="175" spans="1:7">
      <c r="A175" s="2">
        <v>46156</v>
      </c>
      <c r="B175" t="s">
        <v>30</v>
      </c>
      <c r="C175" t="s">
        <v>269</v>
      </c>
      <c r="D175" s="3">
        <v>14599</v>
      </c>
      <c r="E175" s="2">
        <v>46156</v>
      </c>
      <c r="F175">
        <f t="shared" ca="1" si="4"/>
        <v>79</v>
      </c>
      <c r="G175" s="3">
        <f t="shared" si="5"/>
        <v>238111</v>
      </c>
    </row>
    <row r="176" spans="1:7">
      <c r="A176" s="2">
        <v>46156</v>
      </c>
      <c r="B176" t="s">
        <v>32</v>
      </c>
      <c r="C176" t="s">
        <v>284</v>
      </c>
      <c r="D176" s="3">
        <v>225</v>
      </c>
      <c r="E176" s="2">
        <v>46156</v>
      </c>
      <c r="F176">
        <f t="shared" ca="1" si="4"/>
        <v>79</v>
      </c>
      <c r="G176" s="3">
        <f t="shared" si="5"/>
        <v>2464</v>
      </c>
    </row>
    <row r="177" spans="1:7">
      <c r="A177" s="2">
        <v>46156</v>
      </c>
      <c r="B177" t="s">
        <v>43</v>
      </c>
      <c r="C177" t="s">
        <v>326</v>
      </c>
      <c r="D177" s="3">
        <v>29736</v>
      </c>
      <c r="E177" s="2">
        <v>46156</v>
      </c>
      <c r="F177">
        <f t="shared" ca="1" si="4"/>
        <v>79</v>
      </c>
      <c r="G177" s="3">
        <f t="shared" si="5"/>
        <v>68959</v>
      </c>
    </row>
    <row r="178" spans="1:7">
      <c r="A178" s="2">
        <v>46156</v>
      </c>
      <c r="B178" t="s">
        <v>116</v>
      </c>
      <c r="C178" t="s">
        <v>561</v>
      </c>
      <c r="D178" s="3">
        <v>1760</v>
      </c>
      <c r="E178" s="2">
        <v>46156</v>
      </c>
      <c r="F178">
        <f t="shared" ca="1" si="4"/>
        <v>79</v>
      </c>
      <c r="G178" s="3">
        <f t="shared" si="5"/>
        <v>2092</v>
      </c>
    </row>
    <row r="179" spans="1:7">
      <c r="A179" s="2">
        <v>46157</v>
      </c>
      <c r="B179" t="s">
        <v>30</v>
      </c>
      <c r="C179" t="s">
        <v>270</v>
      </c>
      <c r="D179" s="3">
        <v>10000</v>
      </c>
      <c r="E179" s="2">
        <v>46157</v>
      </c>
      <c r="F179">
        <f t="shared" ca="1" si="4"/>
        <v>78</v>
      </c>
      <c r="G179" s="3">
        <f t="shared" si="5"/>
        <v>238111</v>
      </c>
    </row>
    <row r="180" spans="1:7">
      <c r="A180" s="2">
        <v>46157</v>
      </c>
      <c r="B180" t="s">
        <v>97</v>
      </c>
      <c r="C180" t="s">
        <v>495</v>
      </c>
      <c r="D180" s="3">
        <v>176</v>
      </c>
      <c r="E180" s="2">
        <v>46157</v>
      </c>
      <c r="F180">
        <f t="shared" ca="1" si="4"/>
        <v>78</v>
      </c>
      <c r="G180" s="3">
        <f t="shared" si="5"/>
        <v>22276</v>
      </c>
    </row>
    <row r="181" spans="1:7">
      <c r="A181" s="2">
        <v>46157</v>
      </c>
      <c r="B181" t="s">
        <v>131</v>
      </c>
      <c r="C181" t="s">
        <v>662</v>
      </c>
      <c r="D181" s="3">
        <v>368</v>
      </c>
      <c r="E181" s="2">
        <v>46157</v>
      </c>
      <c r="F181">
        <f t="shared" ca="1" si="4"/>
        <v>78</v>
      </c>
      <c r="G181" s="3">
        <f t="shared" si="5"/>
        <v>86975</v>
      </c>
    </row>
    <row r="182" spans="1:7">
      <c r="A182" s="2">
        <v>46158</v>
      </c>
      <c r="B182" t="s">
        <v>15</v>
      </c>
      <c r="C182" t="s">
        <v>165</v>
      </c>
      <c r="D182" s="3">
        <v>795</v>
      </c>
      <c r="E182" s="2">
        <v>46158</v>
      </c>
      <c r="F182">
        <f t="shared" ca="1" si="4"/>
        <v>77</v>
      </c>
      <c r="G182" s="3">
        <f t="shared" si="5"/>
        <v>119404</v>
      </c>
    </row>
    <row r="183" spans="1:7">
      <c r="A183" s="2">
        <v>46158</v>
      </c>
      <c r="B183" t="s">
        <v>25</v>
      </c>
      <c r="C183" t="s">
        <v>215</v>
      </c>
      <c r="D183" s="3">
        <v>6826</v>
      </c>
      <c r="E183" s="2">
        <v>46158</v>
      </c>
      <c r="F183">
        <f t="shared" ca="1" si="4"/>
        <v>77</v>
      </c>
      <c r="G183" s="3">
        <f t="shared" si="5"/>
        <v>92608</v>
      </c>
    </row>
    <row r="184" spans="1:7">
      <c r="A184" s="2">
        <v>46158</v>
      </c>
      <c r="B184" t="s">
        <v>27</v>
      </c>
      <c r="C184" t="s">
        <v>238</v>
      </c>
      <c r="D184" s="3">
        <v>29174</v>
      </c>
      <c r="E184" s="2">
        <v>46158</v>
      </c>
      <c r="F184">
        <f t="shared" ca="1" si="4"/>
        <v>77</v>
      </c>
      <c r="G184" s="3">
        <f t="shared" si="5"/>
        <v>66140</v>
      </c>
    </row>
    <row r="185" spans="1:7">
      <c r="A185" s="2">
        <v>46158</v>
      </c>
      <c r="B185" t="s">
        <v>39</v>
      </c>
      <c r="C185" t="s">
        <v>302</v>
      </c>
      <c r="D185" s="3">
        <v>2020</v>
      </c>
      <c r="E185" s="2">
        <v>46158</v>
      </c>
      <c r="F185">
        <f t="shared" ca="1" si="4"/>
        <v>77</v>
      </c>
      <c r="G185" s="3">
        <f t="shared" si="5"/>
        <v>53111</v>
      </c>
    </row>
    <row r="186" spans="1:7">
      <c r="A186" s="2">
        <v>46158</v>
      </c>
      <c r="B186" t="s">
        <v>83</v>
      </c>
      <c r="C186" t="s">
        <v>449</v>
      </c>
      <c r="D186" s="3">
        <v>17175</v>
      </c>
      <c r="E186" s="2">
        <v>46158</v>
      </c>
      <c r="F186">
        <f t="shared" ca="1" si="4"/>
        <v>77</v>
      </c>
      <c r="G186" s="3">
        <f t="shared" si="5"/>
        <v>17175</v>
      </c>
    </row>
    <row r="187" spans="1:7">
      <c r="A187" s="2">
        <v>46158</v>
      </c>
      <c r="B187" t="s">
        <v>89</v>
      </c>
      <c r="C187" t="s">
        <v>460</v>
      </c>
      <c r="D187" s="3">
        <v>1671</v>
      </c>
      <c r="E187" s="2">
        <v>46158</v>
      </c>
      <c r="F187">
        <f t="shared" ca="1" si="4"/>
        <v>77</v>
      </c>
      <c r="G187" s="3">
        <f t="shared" si="5"/>
        <v>1671</v>
      </c>
    </row>
    <row r="188" spans="1:7">
      <c r="A188" s="2">
        <v>46160</v>
      </c>
      <c r="B188" t="s">
        <v>30</v>
      </c>
      <c r="C188" t="s">
        <v>271</v>
      </c>
      <c r="D188" s="3">
        <v>8400</v>
      </c>
      <c r="E188" s="2">
        <v>46160</v>
      </c>
      <c r="F188">
        <f t="shared" ca="1" si="4"/>
        <v>75</v>
      </c>
      <c r="G188" s="3">
        <f t="shared" si="5"/>
        <v>238111</v>
      </c>
    </row>
    <row r="189" spans="1:7">
      <c r="A189" s="2">
        <v>46161</v>
      </c>
      <c r="B189" t="s">
        <v>120</v>
      </c>
      <c r="C189" t="s">
        <v>601</v>
      </c>
      <c r="D189" s="3">
        <v>2644</v>
      </c>
      <c r="E189" s="2">
        <v>46161</v>
      </c>
      <c r="F189">
        <f t="shared" ca="1" si="4"/>
        <v>74</v>
      </c>
      <c r="G189" s="3">
        <f t="shared" si="5"/>
        <v>109542</v>
      </c>
    </row>
    <row r="190" spans="1:7">
      <c r="A190" s="2">
        <v>46161</v>
      </c>
      <c r="B190" t="s">
        <v>131</v>
      </c>
      <c r="C190" t="s">
        <v>663</v>
      </c>
      <c r="D190" s="3">
        <v>10500</v>
      </c>
      <c r="E190" s="2">
        <v>46161</v>
      </c>
      <c r="F190">
        <f t="shared" ca="1" si="4"/>
        <v>74</v>
      </c>
      <c r="G190" s="3">
        <f t="shared" si="5"/>
        <v>86975</v>
      </c>
    </row>
    <row r="191" spans="1:7">
      <c r="A191" s="2">
        <v>46162</v>
      </c>
      <c r="B191" t="s">
        <v>65</v>
      </c>
      <c r="C191" t="s">
        <v>403</v>
      </c>
      <c r="D191" s="3">
        <v>720</v>
      </c>
      <c r="E191" s="2">
        <v>46162</v>
      </c>
      <c r="F191">
        <f t="shared" ca="1" si="4"/>
        <v>73</v>
      </c>
      <c r="G191" s="3">
        <f t="shared" si="5"/>
        <v>8114</v>
      </c>
    </row>
    <row r="192" spans="1:7">
      <c r="A192" s="2">
        <v>46163</v>
      </c>
      <c r="B192" t="s">
        <v>55</v>
      </c>
      <c r="C192" t="s">
        <v>371</v>
      </c>
      <c r="D192" s="3">
        <v>13937</v>
      </c>
      <c r="E192" s="2">
        <v>46163</v>
      </c>
      <c r="F192">
        <f t="shared" ca="1" si="4"/>
        <v>72</v>
      </c>
      <c r="G192" s="3">
        <f t="shared" si="5"/>
        <v>66432</v>
      </c>
    </row>
    <row r="193" spans="1:7">
      <c r="A193" s="2">
        <v>46163</v>
      </c>
      <c r="B193" t="s">
        <v>104</v>
      </c>
      <c r="C193" t="s">
        <v>523</v>
      </c>
      <c r="D193" s="3">
        <v>620</v>
      </c>
      <c r="E193" s="2">
        <v>46163</v>
      </c>
      <c r="F193">
        <f t="shared" ca="1" si="4"/>
        <v>72</v>
      </c>
      <c r="G193" s="3">
        <f t="shared" si="5"/>
        <v>1659</v>
      </c>
    </row>
    <row r="194" spans="1:7">
      <c r="A194" s="2">
        <v>46164</v>
      </c>
      <c r="B194" t="s">
        <v>100</v>
      </c>
      <c r="C194" t="s">
        <v>511</v>
      </c>
      <c r="D194" s="3">
        <v>10256</v>
      </c>
      <c r="E194" s="2">
        <v>46164</v>
      </c>
      <c r="F194">
        <f t="shared" ca="1" si="4"/>
        <v>71</v>
      </c>
      <c r="G194" s="3">
        <f t="shared" si="5"/>
        <v>61020</v>
      </c>
    </row>
    <row r="195" spans="1:7">
      <c r="A195" s="2">
        <v>46165</v>
      </c>
      <c r="B195" t="s">
        <v>25</v>
      </c>
      <c r="C195" t="s">
        <v>216</v>
      </c>
      <c r="D195" s="3">
        <v>7504</v>
      </c>
      <c r="E195" s="2">
        <v>46165</v>
      </c>
      <c r="F195">
        <f t="shared" ca="1" si="4"/>
        <v>70</v>
      </c>
      <c r="G195" s="3">
        <f t="shared" si="5"/>
        <v>92608</v>
      </c>
    </row>
    <row r="196" spans="1:7">
      <c r="A196" s="2">
        <v>46165</v>
      </c>
      <c r="B196" t="s">
        <v>25</v>
      </c>
      <c r="C196" t="s">
        <v>217</v>
      </c>
      <c r="D196" s="3">
        <v>7637</v>
      </c>
      <c r="E196" s="2">
        <v>46165</v>
      </c>
      <c r="F196">
        <f t="shared" ca="1" si="4"/>
        <v>70</v>
      </c>
      <c r="G196" s="3">
        <f t="shared" si="5"/>
        <v>92608</v>
      </c>
    </row>
    <row r="197" spans="1:7">
      <c r="A197" s="2">
        <v>46165</v>
      </c>
      <c r="B197" t="s">
        <v>27</v>
      </c>
      <c r="C197" t="s">
        <v>239</v>
      </c>
      <c r="D197" s="3">
        <v>231</v>
      </c>
      <c r="E197" s="2">
        <v>46165</v>
      </c>
      <c r="F197">
        <f t="shared" ref="F197:F260" ca="1" si="6">TODAY()-E197</f>
        <v>70</v>
      </c>
      <c r="G197" s="3">
        <f t="shared" ref="G197:G260" si="7">SUMIF($B$5:$B$563,B197,$D$5:$D$563)</f>
        <v>66140</v>
      </c>
    </row>
    <row r="198" spans="1:7">
      <c r="A198" s="2">
        <v>46165</v>
      </c>
      <c r="B198" t="s">
        <v>30</v>
      </c>
      <c r="C198" t="s">
        <v>272</v>
      </c>
      <c r="D198" s="3">
        <v>1550</v>
      </c>
      <c r="E198" s="2">
        <v>46165</v>
      </c>
      <c r="F198">
        <f t="shared" ca="1" si="6"/>
        <v>70</v>
      </c>
      <c r="G198" s="3">
        <f t="shared" si="7"/>
        <v>238111</v>
      </c>
    </row>
    <row r="199" spans="1:7">
      <c r="A199" s="2">
        <v>46165</v>
      </c>
      <c r="B199" t="s">
        <v>72</v>
      </c>
      <c r="C199" t="s">
        <v>418</v>
      </c>
      <c r="D199" s="3">
        <v>12436</v>
      </c>
      <c r="E199" s="2">
        <v>46165</v>
      </c>
      <c r="F199">
        <f t="shared" ca="1" si="6"/>
        <v>70</v>
      </c>
      <c r="G199" s="3">
        <f t="shared" si="7"/>
        <v>112332</v>
      </c>
    </row>
    <row r="200" spans="1:7">
      <c r="A200" s="2">
        <v>46165</v>
      </c>
      <c r="B200" t="s">
        <v>114</v>
      </c>
      <c r="C200" t="s">
        <v>553</v>
      </c>
      <c r="D200" s="3">
        <v>721</v>
      </c>
      <c r="E200" s="2">
        <v>46165</v>
      </c>
      <c r="F200">
        <f t="shared" ca="1" si="6"/>
        <v>70</v>
      </c>
      <c r="G200" s="3">
        <f t="shared" si="7"/>
        <v>14037</v>
      </c>
    </row>
    <row r="201" spans="1:7">
      <c r="A201" s="2">
        <v>46165</v>
      </c>
      <c r="B201" t="s">
        <v>118</v>
      </c>
      <c r="C201" t="s">
        <v>582</v>
      </c>
      <c r="D201" s="3">
        <v>3000</v>
      </c>
      <c r="E201" s="2">
        <v>46165</v>
      </c>
      <c r="F201">
        <f t="shared" ca="1" si="6"/>
        <v>70</v>
      </c>
      <c r="G201" s="3">
        <f t="shared" si="7"/>
        <v>158534</v>
      </c>
    </row>
    <row r="202" spans="1:7">
      <c r="A202" s="2">
        <v>46165</v>
      </c>
      <c r="B202" t="s">
        <v>120</v>
      </c>
      <c r="C202" t="s">
        <v>602</v>
      </c>
      <c r="D202" s="3">
        <v>2714</v>
      </c>
      <c r="E202" s="2">
        <v>46165</v>
      </c>
      <c r="F202">
        <f t="shared" ca="1" si="6"/>
        <v>70</v>
      </c>
      <c r="G202" s="3">
        <f t="shared" si="7"/>
        <v>109542</v>
      </c>
    </row>
    <row r="203" spans="1:7">
      <c r="A203" s="2">
        <v>46165</v>
      </c>
      <c r="B203" t="s">
        <v>126</v>
      </c>
      <c r="C203" t="s">
        <v>623</v>
      </c>
      <c r="D203" s="3">
        <v>3599</v>
      </c>
      <c r="E203" s="2">
        <v>46165</v>
      </c>
      <c r="F203">
        <f t="shared" ca="1" si="6"/>
        <v>70</v>
      </c>
      <c r="G203" s="3">
        <f t="shared" si="7"/>
        <v>19046</v>
      </c>
    </row>
    <row r="204" spans="1:7">
      <c r="A204" s="2">
        <v>46165</v>
      </c>
      <c r="B204" t="s">
        <v>131</v>
      </c>
      <c r="C204" t="s">
        <v>664</v>
      </c>
      <c r="D204" s="3">
        <v>420</v>
      </c>
      <c r="E204" s="2">
        <v>46165</v>
      </c>
      <c r="F204">
        <f t="shared" ca="1" si="6"/>
        <v>70</v>
      </c>
      <c r="G204" s="3">
        <f t="shared" si="7"/>
        <v>86975</v>
      </c>
    </row>
    <row r="205" spans="1:7">
      <c r="A205" s="2">
        <v>46165</v>
      </c>
      <c r="B205" t="s">
        <v>131</v>
      </c>
      <c r="C205" t="s">
        <v>665</v>
      </c>
      <c r="D205" s="3">
        <v>1400</v>
      </c>
      <c r="E205" s="2">
        <v>46165</v>
      </c>
      <c r="F205">
        <f t="shared" ca="1" si="6"/>
        <v>70</v>
      </c>
      <c r="G205" s="3">
        <f t="shared" si="7"/>
        <v>86975</v>
      </c>
    </row>
    <row r="206" spans="1:7">
      <c r="A206" s="2">
        <v>46165</v>
      </c>
      <c r="B206" t="s">
        <v>131</v>
      </c>
      <c r="C206" t="s">
        <v>666</v>
      </c>
      <c r="D206" s="3">
        <v>700</v>
      </c>
      <c r="E206" s="2">
        <v>46165</v>
      </c>
      <c r="F206">
        <f t="shared" ca="1" si="6"/>
        <v>70</v>
      </c>
      <c r="G206" s="3">
        <f t="shared" si="7"/>
        <v>86975</v>
      </c>
    </row>
    <row r="207" spans="1:7">
      <c r="A207" s="2">
        <v>46168</v>
      </c>
      <c r="B207" t="s">
        <v>26</v>
      </c>
      <c r="C207" t="s">
        <v>233</v>
      </c>
      <c r="D207" s="3">
        <v>4847</v>
      </c>
      <c r="E207" s="2">
        <v>46168</v>
      </c>
      <c r="F207">
        <f t="shared" ca="1" si="6"/>
        <v>67</v>
      </c>
      <c r="G207" s="3">
        <f t="shared" si="7"/>
        <v>23286</v>
      </c>
    </row>
    <row r="208" spans="1:7">
      <c r="A208" s="2">
        <v>46169</v>
      </c>
      <c r="B208" t="s">
        <v>125</v>
      </c>
      <c r="C208" t="s">
        <v>622</v>
      </c>
      <c r="D208" s="3">
        <v>43881</v>
      </c>
      <c r="E208" s="2">
        <v>46169</v>
      </c>
      <c r="F208">
        <f t="shared" ca="1" si="6"/>
        <v>66</v>
      </c>
      <c r="G208" s="3">
        <f t="shared" si="7"/>
        <v>43881</v>
      </c>
    </row>
    <row r="209" spans="1:7">
      <c r="A209" s="2">
        <v>46170</v>
      </c>
      <c r="B209" t="s">
        <v>131</v>
      </c>
      <c r="C209" t="s">
        <v>667</v>
      </c>
      <c r="D209" s="3">
        <v>5775</v>
      </c>
      <c r="E209" s="2">
        <v>46170</v>
      </c>
      <c r="F209">
        <f t="shared" ca="1" si="6"/>
        <v>65</v>
      </c>
      <c r="G209" s="3">
        <f t="shared" si="7"/>
        <v>86975</v>
      </c>
    </row>
    <row r="210" spans="1:7">
      <c r="A210" s="2">
        <v>46172</v>
      </c>
      <c r="B210" t="s">
        <v>14</v>
      </c>
      <c r="C210" t="s">
        <v>160</v>
      </c>
      <c r="D210" s="3">
        <v>4800</v>
      </c>
      <c r="E210" s="2">
        <v>46172</v>
      </c>
      <c r="F210">
        <f t="shared" ca="1" si="6"/>
        <v>63</v>
      </c>
      <c r="G210" s="3">
        <f t="shared" si="7"/>
        <v>4800</v>
      </c>
    </row>
    <row r="211" spans="1:7">
      <c r="A211" s="2">
        <v>46172</v>
      </c>
      <c r="B211" t="s">
        <v>15</v>
      </c>
      <c r="C211" t="s">
        <v>166</v>
      </c>
      <c r="D211" s="3">
        <v>13500</v>
      </c>
      <c r="E211" s="2">
        <v>46172</v>
      </c>
      <c r="F211">
        <f t="shared" ca="1" si="6"/>
        <v>63</v>
      </c>
      <c r="G211" s="3">
        <f t="shared" si="7"/>
        <v>119404</v>
      </c>
    </row>
    <row r="212" spans="1:7">
      <c r="A212" s="2">
        <v>46172</v>
      </c>
      <c r="B212" t="s">
        <v>27</v>
      </c>
      <c r="C212" t="s">
        <v>240</v>
      </c>
      <c r="D212" s="3">
        <v>24194</v>
      </c>
      <c r="E212" s="2">
        <v>46172</v>
      </c>
      <c r="F212">
        <f t="shared" ca="1" si="6"/>
        <v>63</v>
      </c>
      <c r="G212" s="3">
        <f t="shared" si="7"/>
        <v>66140</v>
      </c>
    </row>
    <row r="213" spans="1:7">
      <c r="A213" s="2">
        <v>46172</v>
      </c>
      <c r="B213" t="s">
        <v>29</v>
      </c>
      <c r="C213" t="s">
        <v>249</v>
      </c>
      <c r="D213" s="3">
        <v>1576</v>
      </c>
      <c r="E213" s="2">
        <v>46172</v>
      </c>
      <c r="F213">
        <f t="shared" ca="1" si="6"/>
        <v>63</v>
      </c>
      <c r="G213" s="3">
        <f t="shared" si="7"/>
        <v>6000</v>
      </c>
    </row>
    <row r="214" spans="1:7">
      <c r="A214" s="2">
        <v>46172</v>
      </c>
      <c r="B214" t="s">
        <v>30</v>
      </c>
      <c r="C214" t="s">
        <v>273</v>
      </c>
      <c r="D214" s="3">
        <v>2107</v>
      </c>
      <c r="E214" s="2">
        <v>46172</v>
      </c>
      <c r="F214">
        <f t="shared" ca="1" si="6"/>
        <v>63</v>
      </c>
      <c r="G214" s="3">
        <f t="shared" si="7"/>
        <v>238111</v>
      </c>
    </row>
    <row r="215" spans="1:7">
      <c r="A215" s="2">
        <v>46172</v>
      </c>
      <c r="B215" t="s">
        <v>39</v>
      </c>
      <c r="C215" t="s">
        <v>303</v>
      </c>
      <c r="D215" s="3">
        <v>1363</v>
      </c>
      <c r="E215" s="2">
        <v>46172</v>
      </c>
      <c r="F215">
        <f t="shared" ca="1" si="6"/>
        <v>63</v>
      </c>
      <c r="G215" s="3">
        <f t="shared" si="7"/>
        <v>53111</v>
      </c>
    </row>
    <row r="216" spans="1:7">
      <c r="A216" s="2">
        <v>46172</v>
      </c>
      <c r="B216" t="s">
        <v>72</v>
      </c>
      <c r="C216" t="s">
        <v>419</v>
      </c>
      <c r="D216" s="3">
        <v>4257</v>
      </c>
      <c r="E216" s="2">
        <v>46172</v>
      </c>
      <c r="F216">
        <f t="shared" ca="1" si="6"/>
        <v>63</v>
      </c>
      <c r="G216" s="3">
        <f t="shared" si="7"/>
        <v>112332</v>
      </c>
    </row>
    <row r="217" spans="1:7">
      <c r="A217" s="2">
        <v>46172</v>
      </c>
      <c r="B217" t="s">
        <v>79</v>
      </c>
      <c r="C217" t="s">
        <v>442</v>
      </c>
      <c r="D217" s="3">
        <v>20670</v>
      </c>
      <c r="E217" s="2">
        <v>46172</v>
      </c>
      <c r="F217">
        <f t="shared" ca="1" si="6"/>
        <v>63</v>
      </c>
      <c r="G217" s="3">
        <f t="shared" si="7"/>
        <v>108563</v>
      </c>
    </row>
    <row r="218" spans="1:7">
      <c r="A218" s="2">
        <v>46172</v>
      </c>
      <c r="B218" t="s">
        <v>79</v>
      </c>
      <c r="C218" t="s">
        <v>443</v>
      </c>
      <c r="D218" s="3">
        <v>11800</v>
      </c>
      <c r="E218" s="2">
        <v>46172</v>
      </c>
      <c r="F218">
        <f t="shared" ca="1" si="6"/>
        <v>63</v>
      </c>
      <c r="G218" s="3">
        <f t="shared" si="7"/>
        <v>108563</v>
      </c>
    </row>
    <row r="219" spans="1:7">
      <c r="A219" s="2">
        <v>46172</v>
      </c>
      <c r="B219" t="s">
        <v>106</v>
      </c>
      <c r="C219" t="s">
        <v>528</v>
      </c>
      <c r="D219" s="3">
        <v>1749</v>
      </c>
      <c r="E219" s="2">
        <v>46172</v>
      </c>
      <c r="F219">
        <f t="shared" ca="1" si="6"/>
        <v>63</v>
      </c>
      <c r="G219" s="3">
        <f t="shared" si="7"/>
        <v>16423</v>
      </c>
    </row>
    <row r="220" spans="1:7">
      <c r="A220" s="2">
        <v>46174</v>
      </c>
      <c r="B220" t="s">
        <v>40</v>
      </c>
      <c r="C220" t="s">
        <v>314</v>
      </c>
      <c r="D220" s="3">
        <v>30000</v>
      </c>
      <c r="E220" s="2">
        <v>46174</v>
      </c>
      <c r="F220">
        <f t="shared" ca="1" si="6"/>
        <v>61</v>
      </c>
      <c r="G220" s="3">
        <f t="shared" si="7"/>
        <v>115200</v>
      </c>
    </row>
    <row r="221" spans="1:7">
      <c r="A221" s="2">
        <v>46174</v>
      </c>
      <c r="B221" t="s">
        <v>60</v>
      </c>
      <c r="C221" t="s">
        <v>397</v>
      </c>
      <c r="D221" s="3">
        <v>17699</v>
      </c>
      <c r="E221" s="2">
        <v>46174</v>
      </c>
      <c r="F221">
        <f t="shared" ca="1" si="6"/>
        <v>61</v>
      </c>
      <c r="G221" s="3">
        <f t="shared" si="7"/>
        <v>78587</v>
      </c>
    </row>
    <row r="222" spans="1:7">
      <c r="A222" s="2">
        <v>46174</v>
      </c>
      <c r="B222" t="s">
        <v>112</v>
      </c>
      <c r="C222" t="s">
        <v>547</v>
      </c>
      <c r="D222" s="3">
        <v>600</v>
      </c>
      <c r="E222" s="2">
        <v>46174</v>
      </c>
      <c r="F222">
        <f t="shared" ca="1" si="6"/>
        <v>61</v>
      </c>
      <c r="G222" s="3">
        <f t="shared" si="7"/>
        <v>600</v>
      </c>
    </row>
    <row r="223" spans="1:7">
      <c r="A223" s="2">
        <v>46174</v>
      </c>
      <c r="B223" t="s">
        <v>126</v>
      </c>
      <c r="C223" t="s">
        <v>624</v>
      </c>
      <c r="D223" s="3">
        <v>1145</v>
      </c>
      <c r="E223" s="2">
        <v>46174</v>
      </c>
      <c r="F223">
        <f t="shared" ca="1" si="6"/>
        <v>61</v>
      </c>
      <c r="G223" s="3">
        <f t="shared" si="7"/>
        <v>19046</v>
      </c>
    </row>
    <row r="224" spans="1:7">
      <c r="A224" s="2">
        <v>46174</v>
      </c>
      <c r="B224" t="s">
        <v>129</v>
      </c>
      <c r="C224" t="s">
        <v>646</v>
      </c>
      <c r="D224" s="3">
        <v>5573</v>
      </c>
      <c r="E224" s="2">
        <v>46174</v>
      </c>
      <c r="F224">
        <f t="shared" ca="1" si="6"/>
        <v>61</v>
      </c>
      <c r="G224" s="3">
        <f t="shared" si="7"/>
        <v>68445</v>
      </c>
    </row>
    <row r="225" spans="1:7">
      <c r="A225" s="2">
        <v>46175</v>
      </c>
      <c r="B225" t="s">
        <v>65</v>
      </c>
      <c r="C225" t="s">
        <v>404</v>
      </c>
      <c r="D225" s="3">
        <v>1057</v>
      </c>
      <c r="E225" s="2">
        <v>46175</v>
      </c>
      <c r="F225">
        <f t="shared" ca="1" si="6"/>
        <v>60</v>
      </c>
      <c r="G225" s="3">
        <f t="shared" si="7"/>
        <v>8114</v>
      </c>
    </row>
    <row r="226" spans="1:7">
      <c r="A226" s="2">
        <v>46175</v>
      </c>
      <c r="B226" t="s">
        <v>120</v>
      </c>
      <c r="C226" t="s">
        <v>603</v>
      </c>
      <c r="D226" s="3">
        <v>11025</v>
      </c>
      <c r="E226" s="2">
        <v>46175</v>
      </c>
      <c r="F226">
        <f t="shared" ca="1" si="6"/>
        <v>60</v>
      </c>
      <c r="G226" s="3">
        <f t="shared" si="7"/>
        <v>109542</v>
      </c>
    </row>
    <row r="227" spans="1:7">
      <c r="A227" s="2">
        <v>46175</v>
      </c>
      <c r="B227" t="s">
        <v>129</v>
      </c>
      <c r="C227" t="s">
        <v>647</v>
      </c>
      <c r="D227" s="3">
        <v>4200</v>
      </c>
      <c r="E227" s="2">
        <v>46175</v>
      </c>
      <c r="F227">
        <f t="shared" ca="1" si="6"/>
        <v>60</v>
      </c>
      <c r="G227" s="3">
        <f t="shared" si="7"/>
        <v>68445</v>
      </c>
    </row>
    <row r="228" spans="1:7">
      <c r="A228" s="2">
        <v>46176</v>
      </c>
      <c r="B228" t="s">
        <v>95</v>
      </c>
      <c r="C228" t="s">
        <v>480</v>
      </c>
      <c r="D228" s="3">
        <v>16300</v>
      </c>
      <c r="E228" s="2">
        <v>46176</v>
      </c>
      <c r="F228">
        <f t="shared" ca="1" si="6"/>
        <v>59</v>
      </c>
      <c r="G228" s="3">
        <f t="shared" si="7"/>
        <v>77473</v>
      </c>
    </row>
    <row r="229" spans="1:7">
      <c r="A229" s="2">
        <v>46176</v>
      </c>
      <c r="B229" t="s">
        <v>100</v>
      </c>
      <c r="C229" t="s">
        <v>512</v>
      </c>
      <c r="D229" s="3">
        <v>1782</v>
      </c>
      <c r="E229" s="2">
        <v>46176</v>
      </c>
      <c r="F229">
        <f t="shared" ca="1" si="6"/>
        <v>59</v>
      </c>
      <c r="G229" s="3">
        <f t="shared" si="7"/>
        <v>61020</v>
      </c>
    </row>
    <row r="230" spans="1:7">
      <c r="A230" s="2">
        <v>46177</v>
      </c>
      <c r="B230" t="s">
        <v>72</v>
      </c>
      <c r="C230" t="s">
        <v>420</v>
      </c>
      <c r="D230" s="3">
        <v>22838</v>
      </c>
      <c r="E230" s="2">
        <v>46177</v>
      </c>
      <c r="F230">
        <f t="shared" ca="1" si="6"/>
        <v>58</v>
      </c>
      <c r="G230" s="3">
        <f t="shared" si="7"/>
        <v>112332</v>
      </c>
    </row>
    <row r="231" spans="1:7">
      <c r="A231" s="2">
        <v>46177</v>
      </c>
      <c r="B231" t="s">
        <v>78</v>
      </c>
      <c r="C231" t="s">
        <v>437</v>
      </c>
      <c r="D231" s="3">
        <v>2650</v>
      </c>
      <c r="E231" s="2">
        <v>46177</v>
      </c>
      <c r="F231">
        <f t="shared" ca="1" si="6"/>
        <v>58</v>
      </c>
      <c r="G231" s="3">
        <f t="shared" si="7"/>
        <v>28750</v>
      </c>
    </row>
    <row r="232" spans="1:7">
      <c r="A232" s="2">
        <v>46177</v>
      </c>
      <c r="B232" t="s">
        <v>131</v>
      </c>
      <c r="C232" t="s">
        <v>668</v>
      </c>
      <c r="D232" s="3">
        <v>6836</v>
      </c>
      <c r="E232" s="2">
        <v>46177</v>
      </c>
      <c r="F232">
        <f t="shared" ca="1" si="6"/>
        <v>58</v>
      </c>
      <c r="G232" s="3">
        <f t="shared" si="7"/>
        <v>86975</v>
      </c>
    </row>
    <row r="233" spans="1:7">
      <c r="A233" s="2">
        <v>46178</v>
      </c>
      <c r="B233" t="s">
        <v>36</v>
      </c>
      <c r="C233" t="s">
        <v>293</v>
      </c>
      <c r="D233" s="3">
        <v>9800</v>
      </c>
      <c r="E233" s="2">
        <v>46178</v>
      </c>
      <c r="F233">
        <f t="shared" ca="1" si="6"/>
        <v>57</v>
      </c>
      <c r="G233" s="3">
        <f t="shared" si="7"/>
        <v>17096</v>
      </c>
    </row>
    <row r="234" spans="1:7">
      <c r="A234" s="2">
        <v>46178</v>
      </c>
      <c r="B234" t="s">
        <v>100</v>
      </c>
      <c r="C234" t="s">
        <v>513</v>
      </c>
      <c r="D234" s="3">
        <v>1992</v>
      </c>
      <c r="E234" s="2">
        <v>46178</v>
      </c>
      <c r="F234">
        <f t="shared" ca="1" si="6"/>
        <v>57</v>
      </c>
      <c r="G234" s="3">
        <f t="shared" si="7"/>
        <v>61020</v>
      </c>
    </row>
    <row r="235" spans="1:7">
      <c r="A235" s="2">
        <v>46179</v>
      </c>
      <c r="B235" t="s">
        <v>15</v>
      </c>
      <c r="C235" t="s">
        <v>167</v>
      </c>
      <c r="D235" s="3">
        <v>1075</v>
      </c>
      <c r="E235" s="2">
        <v>46179</v>
      </c>
      <c r="F235">
        <f t="shared" ca="1" si="6"/>
        <v>56</v>
      </c>
      <c r="G235" s="3">
        <f t="shared" si="7"/>
        <v>119404</v>
      </c>
    </row>
    <row r="236" spans="1:7">
      <c r="A236" s="2">
        <v>46179</v>
      </c>
      <c r="B236" t="s">
        <v>25</v>
      </c>
      <c r="C236" t="s">
        <v>218</v>
      </c>
      <c r="D236" s="3">
        <v>450</v>
      </c>
      <c r="E236" s="2">
        <v>46179</v>
      </c>
      <c r="F236">
        <f t="shared" ca="1" si="6"/>
        <v>56</v>
      </c>
      <c r="G236" s="3">
        <f t="shared" si="7"/>
        <v>92608</v>
      </c>
    </row>
    <row r="237" spans="1:7">
      <c r="A237" s="2">
        <v>46179</v>
      </c>
      <c r="B237" t="s">
        <v>27</v>
      </c>
      <c r="C237" t="s">
        <v>241</v>
      </c>
      <c r="D237" s="3">
        <v>830</v>
      </c>
      <c r="E237" s="2">
        <v>46179</v>
      </c>
      <c r="F237">
        <f t="shared" ca="1" si="6"/>
        <v>56</v>
      </c>
      <c r="G237" s="3">
        <f t="shared" si="7"/>
        <v>66140</v>
      </c>
    </row>
    <row r="238" spans="1:7">
      <c r="A238" s="2">
        <v>46179</v>
      </c>
      <c r="B238" t="s">
        <v>29</v>
      </c>
      <c r="C238" t="s">
        <v>250</v>
      </c>
      <c r="D238" s="3">
        <v>1374</v>
      </c>
      <c r="E238" s="2">
        <v>46179</v>
      </c>
      <c r="F238">
        <f t="shared" ca="1" si="6"/>
        <v>56</v>
      </c>
      <c r="G238" s="3">
        <f t="shared" si="7"/>
        <v>6000</v>
      </c>
    </row>
    <row r="239" spans="1:7">
      <c r="A239" s="2">
        <v>46179</v>
      </c>
      <c r="B239" t="s">
        <v>72</v>
      </c>
      <c r="C239" t="s">
        <v>421</v>
      </c>
      <c r="D239" s="3">
        <v>2250</v>
      </c>
      <c r="E239" s="2">
        <v>46179</v>
      </c>
      <c r="F239">
        <f t="shared" ca="1" si="6"/>
        <v>56</v>
      </c>
      <c r="G239" s="3">
        <f t="shared" si="7"/>
        <v>112332</v>
      </c>
    </row>
    <row r="240" spans="1:7">
      <c r="A240" s="2">
        <v>46179</v>
      </c>
      <c r="B240" t="s">
        <v>76</v>
      </c>
      <c r="C240" t="s">
        <v>428</v>
      </c>
      <c r="D240" s="3">
        <v>74892</v>
      </c>
      <c r="E240" s="2">
        <v>46179</v>
      </c>
      <c r="F240">
        <f t="shared" ca="1" si="6"/>
        <v>56</v>
      </c>
      <c r="G240" s="3">
        <f t="shared" si="7"/>
        <v>182236</v>
      </c>
    </row>
    <row r="241" spans="1:7">
      <c r="A241" s="2">
        <v>46179</v>
      </c>
      <c r="B241" t="s">
        <v>77</v>
      </c>
      <c r="C241" t="s">
        <v>434</v>
      </c>
      <c r="D241" s="3">
        <v>56</v>
      </c>
      <c r="E241" s="2">
        <v>46179</v>
      </c>
      <c r="F241">
        <f t="shared" ca="1" si="6"/>
        <v>56</v>
      </c>
      <c r="G241" s="3">
        <f t="shared" si="7"/>
        <v>56</v>
      </c>
    </row>
    <row r="242" spans="1:7">
      <c r="A242" s="2">
        <v>46179</v>
      </c>
      <c r="B242" t="s">
        <v>95</v>
      </c>
      <c r="C242" t="s">
        <v>481</v>
      </c>
      <c r="D242" s="3">
        <v>1693</v>
      </c>
      <c r="E242" s="2">
        <v>46179</v>
      </c>
      <c r="F242">
        <f t="shared" ca="1" si="6"/>
        <v>56</v>
      </c>
      <c r="G242" s="3">
        <f t="shared" si="7"/>
        <v>77473</v>
      </c>
    </row>
    <row r="243" spans="1:7">
      <c r="A243" s="2">
        <v>46179</v>
      </c>
      <c r="B243" t="s">
        <v>97</v>
      </c>
      <c r="C243" t="s">
        <v>496</v>
      </c>
      <c r="D243" s="3">
        <v>2511</v>
      </c>
      <c r="E243" s="2">
        <v>46179</v>
      </c>
      <c r="F243">
        <f t="shared" ca="1" si="6"/>
        <v>56</v>
      </c>
      <c r="G243" s="3">
        <f t="shared" si="7"/>
        <v>22276</v>
      </c>
    </row>
    <row r="244" spans="1:7">
      <c r="A244" s="2">
        <v>46179</v>
      </c>
      <c r="B244" t="s">
        <v>106</v>
      </c>
      <c r="C244" t="s">
        <v>529</v>
      </c>
      <c r="D244" s="3">
        <v>245</v>
      </c>
      <c r="E244" s="2">
        <v>46179</v>
      </c>
      <c r="F244">
        <f t="shared" ca="1" si="6"/>
        <v>56</v>
      </c>
      <c r="G244" s="3">
        <f t="shared" si="7"/>
        <v>16423</v>
      </c>
    </row>
    <row r="245" spans="1:7">
      <c r="A245" s="2">
        <v>46179</v>
      </c>
      <c r="B245" t="s">
        <v>132</v>
      </c>
      <c r="C245" t="s">
        <v>675</v>
      </c>
      <c r="D245" s="3">
        <v>8038</v>
      </c>
      <c r="E245" s="2">
        <v>46179</v>
      </c>
      <c r="F245">
        <f t="shared" ca="1" si="6"/>
        <v>56</v>
      </c>
      <c r="G245" s="3">
        <f t="shared" si="7"/>
        <v>19560</v>
      </c>
    </row>
    <row r="246" spans="1:7">
      <c r="A246" s="2">
        <v>46181</v>
      </c>
      <c r="B246" t="s">
        <v>25</v>
      </c>
      <c r="C246" t="s">
        <v>219</v>
      </c>
      <c r="D246" s="3">
        <v>7130</v>
      </c>
      <c r="E246" s="2">
        <v>46181</v>
      </c>
      <c r="F246">
        <f t="shared" ca="1" si="6"/>
        <v>54</v>
      </c>
      <c r="G246" s="3">
        <f t="shared" si="7"/>
        <v>92608</v>
      </c>
    </row>
    <row r="247" spans="1:7">
      <c r="A247" s="2">
        <v>46181</v>
      </c>
      <c r="B247" t="s">
        <v>40</v>
      </c>
      <c r="C247" t="s">
        <v>315</v>
      </c>
      <c r="D247" s="3">
        <v>4800</v>
      </c>
      <c r="E247" s="2">
        <v>46181</v>
      </c>
      <c r="F247">
        <f t="shared" ca="1" si="6"/>
        <v>54</v>
      </c>
      <c r="G247" s="3">
        <f t="shared" si="7"/>
        <v>115200</v>
      </c>
    </row>
    <row r="248" spans="1:7">
      <c r="A248" s="2">
        <v>46181</v>
      </c>
      <c r="B248" t="s">
        <v>65</v>
      </c>
      <c r="C248" t="s">
        <v>405</v>
      </c>
      <c r="D248" s="3">
        <v>2420</v>
      </c>
      <c r="E248" s="2">
        <v>46181</v>
      </c>
      <c r="F248">
        <f t="shared" ca="1" si="6"/>
        <v>54</v>
      </c>
      <c r="G248" s="3">
        <f t="shared" si="7"/>
        <v>8114</v>
      </c>
    </row>
    <row r="249" spans="1:7">
      <c r="A249" s="2">
        <v>46181</v>
      </c>
      <c r="B249" t="s">
        <v>122</v>
      </c>
      <c r="C249" t="s">
        <v>618</v>
      </c>
      <c r="D249" s="3">
        <v>8744</v>
      </c>
      <c r="E249" s="2">
        <v>46181</v>
      </c>
      <c r="F249">
        <f t="shared" ca="1" si="6"/>
        <v>54</v>
      </c>
      <c r="G249" s="3">
        <f t="shared" si="7"/>
        <v>22615</v>
      </c>
    </row>
    <row r="250" spans="1:7">
      <c r="A250" s="2">
        <v>46181</v>
      </c>
      <c r="B250" t="s">
        <v>126</v>
      </c>
      <c r="C250" t="s">
        <v>625</v>
      </c>
      <c r="D250" s="3">
        <v>4248</v>
      </c>
      <c r="E250" s="2">
        <v>46181</v>
      </c>
      <c r="F250">
        <f t="shared" ca="1" si="6"/>
        <v>54</v>
      </c>
      <c r="G250" s="3">
        <f t="shared" si="7"/>
        <v>19046</v>
      </c>
    </row>
    <row r="251" spans="1:7">
      <c r="A251" s="2">
        <v>46181</v>
      </c>
      <c r="B251" t="s">
        <v>135</v>
      </c>
      <c r="C251" t="s">
        <v>697</v>
      </c>
      <c r="D251" s="3">
        <v>11111</v>
      </c>
      <c r="E251" s="2">
        <v>46181</v>
      </c>
      <c r="F251">
        <f t="shared" ca="1" si="6"/>
        <v>54</v>
      </c>
      <c r="G251" s="3">
        <f t="shared" si="7"/>
        <v>44439</v>
      </c>
    </row>
    <row r="252" spans="1:7">
      <c r="A252" s="2">
        <v>46182</v>
      </c>
      <c r="B252" t="s">
        <v>39</v>
      </c>
      <c r="C252" t="s">
        <v>304</v>
      </c>
      <c r="D252" s="3">
        <v>1298</v>
      </c>
      <c r="E252" s="2">
        <v>46182</v>
      </c>
      <c r="F252">
        <f t="shared" ca="1" si="6"/>
        <v>53</v>
      </c>
      <c r="G252" s="3">
        <f t="shared" si="7"/>
        <v>53111</v>
      </c>
    </row>
    <row r="253" spans="1:7">
      <c r="A253" s="2">
        <v>46182</v>
      </c>
      <c r="B253" t="s">
        <v>39</v>
      </c>
      <c r="C253" t="s">
        <v>305</v>
      </c>
      <c r="D253" s="3">
        <v>3540</v>
      </c>
      <c r="E253" s="2">
        <v>46182</v>
      </c>
      <c r="F253">
        <f t="shared" ca="1" si="6"/>
        <v>53</v>
      </c>
      <c r="G253" s="3">
        <f t="shared" si="7"/>
        <v>53111</v>
      </c>
    </row>
    <row r="254" spans="1:7">
      <c r="A254" s="2">
        <v>46182</v>
      </c>
      <c r="B254" t="s">
        <v>39</v>
      </c>
      <c r="C254" t="s">
        <v>306</v>
      </c>
      <c r="D254" s="3">
        <v>8301</v>
      </c>
      <c r="E254" s="2">
        <v>46182</v>
      </c>
      <c r="F254">
        <f t="shared" ca="1" si="6"/>
        <v>53</v>
      </c>
      <c r="G254" s="3">
        <f t="shared" si="7"/>
        <v>53111</v>
      </c>
    </row>
    <row r="255" spans="1:7">
      <c r="A255" s="2">
        <v>46182</v>
      </c>
      <c r="B255" t="s">
        <v>95</v>
      </c>
      <c r="C255" t="s">
        <v>482</v>
      </c>
      <c r="D255" s="3">
        <v>3525</v>
      </c>
      <c r="E255" s="2">
        <v>46182</v>
      </c>
      <c r="F255">
        <f t="shared" ca="1" si="6"/>
        <v>53</v>
      </c>
      <c r="G255" s="3">
        <f t="shared" si="7"/>
        <v>77473</v>
      </c>
    </row>
    <row r="256" spans="1:7">
      <c r="A256" s="2">
        <v>46182</v>
      </c>
      <c r="B256" t="s">
        <v>100</v>
      </c>
      <c r="C256" t="s">
        <v>514</v>
      </c>
      <c r="D256" s="3">
        <v>11840</v>
      </c>
      <c r="E256" s="2">
        <v>46182</v>
      </c>
      <c r="F256">
        <f t="shared" ca="1" si="6"/>
        <v>53</v>
      </c>
      <c r="G256" s="3">
        <f t="shared" si="7"/>
        <v>61020</v>
      </c>
    </row>
    <row r="257" spans="1:7">
      <c r="A257" s="2">
        <v>46182</v>
      </c>
      <c r="B257" t="s">
        <v>105</v>
      </c>
      <c r="C257" t="s">
        <v>525</v>
      </c>
      <c r="D257" s="3">
        <v>8244</v>
      </c>
      <c r="E257" s="2">
        <v>46182</v>
      </c>
      <c r="F257">
        <f t="shared" ca="1" si="6"/>
        <v>53</v>
      </c>
      <c r="G257" s="3">
        <f t="shared" si="7"/>
        <v>12444</v>
      </c>
    </row>
    <row r="258" spans="1:7">
      <c r="A258" s="2">
        <v>46182</v>
      </c>
      <c r="B258" t="s">
        <v>120</v>
      </c>
      <c r="C258" t="s">
        <v>604</v>
      </c>
      <c r="D258" s="3">
        <v>1900</v>
      </c>
      <c r="E258" s="2">
        <v>46182</v>
      </c>
      <c r="F258">
        <f t="shared" ca="1" si="6"/>
        <v>53</v>
      </c>
      <c r="G258" s="3">
        <f t="shared" si="7"/>
        <v>109542</v>
      </c>
    </row>
    <row r="259" spans="1:7">
      <c r="A259" s="2">
        <v>46183</v>
      </c>
      <c r="B259" t="s">
        <v>29</v>
      </c>
      <c r="C259" t="s">
        <v>251</v>
      </c>
      <c r="D259" s="3">
        <v>1500</v>
      </c>
      <c r="E259" s="2">
        <v>46183</v>
      </c>
      <c r="F259">
        <f t="shared" ca="1" si="6"/>
        <v>52</v>
      </c>
      <c r="G259" s="3">
        <f t="shared" si="7"/>
        <v>6000</v>
      </c>
    </row>
    <row r="260" spans="1:7">
      <c r="A260" s="2">
        <v>46183</v>
      </c>
      <c r="B260" t="s">
        <v>55</v>
      </c>
      <c r="C260" t="s">
        <v>372</v>
      </c>
      <c r="D260" s="3">
        <v>8511</v>
      </c>
      <c r="E260" s="2">
        <v>46183</v>
      </c>
      <c r="F260">
        <f t="shared" ca="1" si="6"/>
        <v>52</v>
      </c>
      <c r="G260" s="3">
        <f t="shared" si="7"/>
        <v>66432</v>
      </c>
    </row>
    <row r="261" spans="1:7">
      <c r="A261" s="2">
        <v>46183</v>
      </c>
      <c r="B261" t="s">
        <v>69</v>
      </c>
      <c r="C261" t="s">
        <v>411</v>
      </c>
      <c r="D261" s="3">
        <v>4500</v>
      </c>
      <c r="E261" s="2">
        <v>46183</v>
      </c>
      <c r="F261">
        <f t="shared" ref="F261:F324" ca="1" si="8">TODAY()-E261</f>
        <v>52</v>
      </c>
      <c r="G261" s="3">
        <f t="shared" ref="G261:G324" si="9">SUMIF($B$5:$B$563,B261,$D$5:$D$563)</f>
        <v>4500</v>
      </c>
    </row>
    <row r="262" spans="1:7">
      <c r="A262" s="2">
        <v>46183</v>
      </c>
      <c r="B262" t="s">
        <v>118</v>
      </c>
      <c r="C262" t="s">
        <v>583</v>
      </c>
      <c r="D262" s="3">
        <v>5760</v>
      </c>
      <c r="E262" s="2">
        <v>46183</v>
      </c>
      <c r="F262">
        <f t="shared" ca="1" si="8"/>
        <v>52</v>
      </c>
      <c r="G262" s="3">
        <f t="shared" si="9"/>
        <v>158534</v>
      </c>
    </row>
    <row r="263" spans="1:7">
      <c r="A263" s="2">
        <v>46183</v>
      </c>
      <c r="B263" t="s">
        <v>120</v>
      </c>
      <c r="C263" t="s">
        <v>605</v>
      </c>
      <c r="D263" s="3">
        <v>5038</v>
      </c>
      <c r="E263" s="2">
        <v>46183</v>
      </c>
      <c r="F263">
        <f t="shared" ca="1" si="8"/>
        <v>52</v>
      </c>
      <c r="G263" s="3">
        <f t="shared" si="9"/>
        <v>109542</v>
      </c>
    </row>
    <row r="264" spans="1:7">
      <c r="A264" s="2">
        <v>46183</v>
      </c>
      <c r="B264" t="s">
        <v>131</v>
      </c>
      <c r="C264" t="s">
        <v>669</v>
      </c>
      <c r="D264" s="3">
        <v>2100</v>
      </c>
      <c r="E264" s="2">
        <v>46183</v>
      </c>
      <c r="F264">
        <f t="shared" ca="1" si="8"/>
        <v>52</v>
      </c>
      <c r="G264" s="3">
        <f t="shared" si="9"/>
        <v>86975</v>
      </c>
    </row>
    <row r="265" spans="1:7">
      <c r="A265" s="2">
        <v>46183</v>
      </c>
      <c r="B265" t="s">
        <v>135</v>
      </c>
      <c r="C265" t="s">
        <v>698</v>
      </c>
      <c r="D265" s="3">
        <v>4130</v>
      </c>
      <c r="E265" s="2">
        <v>46183</v>
      </c>
      <c r="F265">
        <f t="shared" ca="1" si="8"/>
        <v>52</v>
      </c>
      <c r="G265" s="3">
        <f t="shared" si="9"/>
        <v>44439</v>
      </c>
    </row>
    <row r="266" spans="1:7">
      <c r="A266" s="2">
        <v>46184</v>
      </c>
      <c r="B266" t="s">
        <v>40</v>
      </c>
      <c r="C266" t="s">
        <v>316</v>
      </c>
      <c r="D266" s="3">
        <v>4800</v>
      </c>
      <c r="E266" s="2">
        <v>46184</v>
      </c>
      <c r="F266">
        <f t="shared" ca="1" si="8"/>
        <v>51</v>
      </c>
      <c r="G266" s="3">
        <f t="shared" si="9"/>
        <v>115200</v>
      </c>
    </row>
    <row r="267" spans="1:7">
      <c r="A267" s="2">
        <v>46184</v>
      </c>
      <c r="B267" t="s">
        <v>56</v>
      </c>
      <c r="C267" t="s">
        <v>377</v>
      </c>
      <c r="D267" s="3">
        <v>7596</v>
      </c>
      <c r="E267" s="2">
        <v>46184</v>
      </c>
      <c r="F267">
        <f t="shared" ca="1" si="8"/>
        <v>51</v>
      </c>
      <c r="G267" s="3">
        <f t="shared" si="9"/>
        <v>12136</v>
      </c>
    </row>
    <row r="268" spans="1:7">
      <c r="A268" s="2">
        <v>46184</v>
      </c>
      <c r="B268" t="s">
        <v>102</v>
      </c>
      <c r="C268" t="s">
        <v>521</v>
      </c>
      <c r="D268" s="3">
        <v>8000</v>
      </c>
      <c r="E268" s="2">
        <v>46184</v>
      </c>
      <c r="F268">
        <f t="shared" ca="1" si="8"/>
        <v>51</v>
      </c>
      <c r="G268" s="3">
        <f t="shared" si="9"/>
        <v>8000</v>
      </c>
    </row>
    <row r="269" spans="1:7">
      <c r="A269" s="2">
        <v>46185</v>
      </c>
      <c r="B269" t="s">
        <v>63</v>
      </c>
      <c r="C269" t="s">
        <v>401</v>
      </c>
      <c r="D269" s="3">
        <v>1605</v>
      </c>
      <c r="E269" s="2">
        <v>46185</v>
      </c>
      <c r="F269">
        <f t="shared" ca="1" si="8"/>
        <v>50</v>
      </c>
      <c r="G269" s="3">
        <f t="shared" si="9"/>
        <v>1605</v>
      </c>
    </row>
    <row r="270" spans="1:7">
      <c r="A270" s="2">
        <v>46185</v>
      </c>
      <c r="B270" t="s">
        <v>95</v>
      </c>
      <c r="C270" t="s">
        <v>483</v>
      </c>
      <c r="D270" s="3">
        <v>14250</v>
      </c>
      <c r="E270" s="2">
        <v>46185</v>
      </c>
      <c r="F270">
        <f t="shared" ca="1" si="8"/>
        <v>50</v>
      </c>
      <c r="G270" s="3">
        <f t="shared" si="9"/>
        <v>77473</v>
      </c>
    </row>
    <row r="271" spans="1:7">
      <c r="A271" s="2">
        <v>46186</v>
      </c>
      <c r="B271" t="s">
        <v>25</v>
      </c>
      <c r="C271" t="s">
        <v>220</v>
      </c>
      <c r="D271" s="3">
        <v>4416</v>
      </c>
      <c r="E271" s="2">
        <v>46186</v>
      </c>
      <c r="F271">
        <f t="shared" ca="1" si="8"/>
        <v>49</v>
      </c>
      <c r="G271" s="3">
        <f t="shared" si="9"/>
        <v>92608</v>
      </c>
    </row>
    <row r="272" spans="1:7">
      <c r="A272" s="2">
        <v>46186</v>
      </c>
      <c r="B272" t="s">
        <v>27</v>
      </c>
      <c r="C272" t="s">
        <v>242</v>
      </c>
      <c r="D272" s="3">
        <v>1350</v>
      </c>
      <c r="E272" s="2">
        <v>46186</v>
      </c>
      <c r="F272">
        <f t="shared" ca="1" si="8"/>
        <v>49</v>
      </c>
      <c r="G272" s="3">
        <f t="shared" si="9"/>
        <v>66140</v>
      </c>
    </row>
    <row r="273" spans="1:7">
      <c r="A273" s="2">
        <v>46186</v>
      </c>
      <c r="B273" t="s">
        <v>29</v>
      </c>
      <c r="C273" t="s">
        <v>252</v>
      </c>
      <c r="D273" s="3">
        <v>882</v>
      </c>
      <c r="E273" s="2">
        <v>46186</v>
      </c>
      <c r="F273">
        <f t="shared" ca="1" si="8"/>
        <v>49</v>
      </c>
      <c r="G273" s="3">
        <f t="shared" si="9"/>
        <v>6000</v>
      </c>
    </row>
    <row r="274" spans="1:7">
      <c r="A274" s="2">
        <v>46186</v>
      </c>
      <c r="B274" t="s">
        <v>30</v>
      </c>
      <c r="C274" t="s">
        <v>274</v>
      </c>
      <c r="D274" s="3">
        <v>13800</v>
      </c>
      <c r="E274" s="2">
        <v>46186</v>
      </c>
      <c r="F274">
        <f t="shared" ca="1" si="8"/>
        <v>49</v>
      </c>
      <c r="G274" s="3">
        <f t="shared" si="9"/>
        <v>238111</v>
      </c>
    </row>
    <row r="275" spans="1:7">
      <c r="A275" s="2">
        <v>46186</v>
      </c>
      <c r="B275" t="s">
        <v>33</v>
      </c>
      <c r="C275" t="s">
        <v>285</v>
      </c>
      <c r="D275" s="3">
        <v>1700</v>
      </c>
      <c r="E275" s="2">
        <v>46186</v>
      </c>
      <c r="F275">
        <f t="shared" ca="1" si="8"/>
        <v>49</v>
      </c>
      <c r="G275" s="3">
        <f t="shared" si="9"/>
        <v>7349</v>
      </c>
    </row>
    <row r="276" spans="1:7">
      <c r="A276" s="2">
        <v>46186</v>
      </c>
      <c r="B276" t="s">
        <v>33</v>
      </c>
      <c r="C276" t="s">
        <v>286</v>
      </c>
      <c r="D276" s="3">
        <v>644</v>
      </c>
      <c r="E276" s="2">
        <v>46186</v>
      </c>
      <c r="F276">
        <f t="shared" ca="1" si="8"/>
        <v>49</v>
      </c>
      <c r="G276" s="3">
        <f t="shared" si="9"/>
        <v>7349</v>
      </c>
    </row>
    <row r="277" spans="1:7">
      <c r="A277" s="2">
        <v>46186</v>
      </c>
      <c r="B277" t="s">
        <v>47</v>
      </c>
      <c r="C277" t="s">
        <v>341</v>
      </c>
      <c r="D277" s="3">
        <v>1768</v>
      </c>
      <c r="E277" s="2">
        <v>46186</v>
      </c>
      <c r="F277">
        <f t="shared" ca="1" si="8"/>
        <v>49</v>
      </c>
      <c r="G277" s="3">
        <f t="shared" si="9"/>
        <v>67304</v>
      </c>
    </row>
    <row r="278" spans="1:7">
      <c r="A278" s="2">
        <v>46186</v>
      </c>
      <c r="B278" t="s">
        <v>47</v>
      </c>
      <c r="C278" t="s">
        <v>342</v>
      </c>
      <c r="D278" s="3">
        <v>3634</v>
      </c>
      <c r="E278" s="2">
        <v>46186</v>
      </c>
      <c r="F278">
        <f t="shared" ca="1" si="8"/>
        <v>49</v>
      </c>
      <c r="G278" s="3">
        <f t="shared" si="9"/>
        <v>67304</v>
      </c>
    </row>
    <row r="279" spans="1:7">
      <c r="A279" s="2">
        <v>46186</v>
      </c>
      <c r="B279" t="s">
        <v>72</v>
      </c>
      <c r="C279" t="s">
        <v>422</v>
      </c>
      <c r="D279" s="3">
        <v>1598</v>
      </c>
      <c r="E279" s="2">
        <v>46186</v>
      </c>
      <c r="F279">
        <f t="shared" ca="1" si="8"/>
        <v>49</v>
      </c>
      <c r="G279" s="3">
        <f t="shared" si="9"/>
        <v>112332</v>
      </c>
    </row>
    <row r="280" spans="1:7">
      <c r="A280" s="2">
        <v>46186</v>
      </c>
      <c r="B280" t="s">
        <v>76</v>
      </c>
      <c r="C280" t="s">
        <v>429</v>
      </c>
      <c r="D280" s="3">
        <v>20591</v>
      </c>
      <c r="E280" s="2">
        <v>46186</v>
      </c>
      <c r="F280">
        <f t="shared" ca="1" si="8"/>
        <v>49</v>
      </c>
      <c r="G280" s="3">
        <f t="shared" si="9"/>
        <v>182236</v>
      </c>
    </row>
    <row r="281" spans="1:7">
      <c r="A281" s="2">
        <v>46186</v>
      </c>
      <c r="B281" t="s">
        <v>82</v>
      </c>
      <c r="C281" t="s">
        <v>447</v>
      </c>
      <c r="D281" s="3">
        <v>4017</v>
      </c>
      <c r="E281" s="2">
        <v>46186</v>
      </c>
      <c r="F281">
        <f t="shared" ca="1" si="8"/>
        <v>49</v>
      </c>
      <c r="G281" s="3">
        <f t="shared" si="9"/>
        <v>15171</v>
      </c>
    </row>
    <row r="282" spans="1:7">
      <c r="A282" s="2">
        <v>46186</v>
      </c>
      <c r="B282" t="s">
        <v>132</v>
      </c>
      <c r="C282" t="s">
        <v>676</v>
      </c>
      <c r="D282" s="3">
        <v>1444</v>
      </c>
      <c r="E282" s="2">
        <v>46186</v>
      </c>
      <c r="F282">
        <f t="shared" ca="1" si="8"/>
        <v>49</v>
      </c>
      <c r="G282" s="3">
        <f t="shared" si="9"/>
        <v>19560</v>
      </c>
    </row>
    <row r="283" spans="1:7">
      <c r="A283" s="2">
        <v>46188</v>
      </c>
      <c r="B283" t="s">
        <v>18</v>
      </c>
      <c r="C283" t="s">
        <v>177</v>
      </c>
      <c r="D283" s="3">
        <v>3704</v>
      </c>
      <c r="E283" s="2">
        <v>46188</v>
      </c>
      <c r="F283">
        <f t="shared" ca="1" si="8"/>
        <v>47</v>
      </c>
      <c r="G283" s="3">
        <f t="shared" si="9"/>
        <v>12267</v>
      </c>
    </row>
    <row r="284" spans="1:7">
      <c r="A284" s="2">
        <v>46188</v>
      </c>
      <c r="B284" t="s">
        <v>56</v>
      </c>
      <c r="C284" t="s">
        <v>378</v>
      </c>
      <c r="D284" s="3">
        <v>3798</v>
      </c>
      <c r="E284" s="2">
        <v>46188</v>
      </c>
      <c r="F284">
        <f t="shared" ca="1" si="8"/>
        <v>47</v>
      </c>
      <c r="G284" s="3">
        <f t="shared" si="9"/>
        <v>12136</v>
      </c>
    </row>
    <row r="285" spans="1:7">
      <c r="A285" s="2">
        <v>46188</v>
      </c>
      <c r="B285" t="s">
        <v>78</v>
      </c>
      <c r="C285" t="s">
        <v>438</v>
      </c>
      <c r="D285" s="3">
        <v>1300</v>
      </c>
      <c r="E285" s="2">
        <v>46188</v>
      </c>
      <c r="F285">
        <f t="shared" ca="1" si="8"/>
        <v>47</v>
      </c>
      <c r="G285" s="3">
        <f t="shared" si="9"/>
        <v>28750</v>
      </c>
    </row>
    <row r="286" spans="1:7">
      <c r="A286" s="2">
        <v>46188</v>
      </c>
      <c r="B286" t="s">
        <v>129</v>
      </c>
      <c r="C286" t="s">
        <v>648</v>
      </c>
      <c r="D286" s="3">
        <v>3460</v>
      </c>
      <c r="E286" s="2">
        <v>46188</v>
      </c>
      <c r="F286">
        <f t="shared" ca="1" si="8"/>
        <v>47</v>
      </c>
      <c r="G286" s="3">
        <f t="shared" si="9"/>
        <v>68445</v>
      </c>
    </row>
    <row r="287" spans="1:7">
      <c r="A287" s="2">
        <v>46188</v>
      </c>
      <c r="B287" t="s">
        <v>131</v>
      </c>
      <c r="C287" t="s">
        <v>670</v>
      </c>
      <c r="D287" s="3">
        <v>630</v>
      </c>
      <c r="E287" s="2">
        <v>46188</v>
      </c>
      <c r="F287">
        <f t="shared" ca="1" si="8"/>
        <v>47</v>
      </c>
      <c r="G287" s="3">
        <f t="shared" si="9"/>
        <v>86975</v>
      </c>
    </row>
    <row r="288" spans="1:7">
      <c r="A288" s="2">
        <v>46191</v>
      </c>
      <c r="B288" t="s">
        <v>34</v>
      </c>
      <c r="C288" t="s">
        <v>290</v>
      </c>
      <c r="D288" s="3">
        <v>3717</v>
      </c>
      <c r="E288" s="2">
        <v>46191</v>
      </c>
      <c r="F288">
        <f t="shared" ca="1" si="8"/>
        <v>44</v>
      </c>
      <c r="G288" s="3">
        <f t="shared" si="9"/>
        <v>3717</v>
      </c>
    </row>
    <row r="289" spans="1:7">
      <c r="A289" s="2">
        <v>46191</v>
      </c>
      <c r="B289" t="s">
        <v>54</v>
      </c>
      <c r="C289" t="s">
        <v>367</v>
      </c>
      <c r="D289" s="3">
        <v>1558</v>
      </c>
      <c r="E289" s="2">
        <v>46191</v>
      </c>
      <c r="F289">
        <f t="shared" ca="1" si="8"/>
        <v>44</v>
      </c>
      <c r="G289" s="3">
        <f t="shared" si="9"/>
        <v>3365</v>
      </c>
    </row>
    <row r="290" spans="1:7">
      <c r="A290" s="2">
        <v>46191</v>
      </c>
      <c r="B290" t="s">
        <v>56</v>
      </c>
      <c r="C290" t="s">
        <v>379</v>
      </c>
      <c r="D290" s="3">
        <v>742</v>
      </c>
      <c r="E290" s="2">
        <v>46191</v>
      </c>
      <c r="F290">
        <f t="shared" ca="1" si="8"/>
        <v>44</v>
      </c>
      <c r="G290" s="3">
        <f t="shared" si="9"/>
        <v>12136</v>
      </c>
    </row>
    <row r="291" spans="1:7">
      <c r="A291" s="2">
        <v>46195</v>
      </c>
      <c r="B291" t="s">
        <v>103</v>
      </c>
      <c r="C291" t="s">
        <v>522</v>
      </c>
      <c r="D291" s="3">
        <v>5403</v>
      </c>
      <c r="E291" s="2">
        <v>46195</v>
      </c>
      <c r="F291">
        <f t="shared" ca="1" si="8"/>
        <v>40</v>
      </c>
      <c r="G291" s="3">
        <f t="shared" si="9"/>
        <v>5403</v>
      </c>
    </row>
    <row r="292" spans="1:7">
      <c r="A292" s="2">
        <v>46195</v>
      </c>
      <c r="B292" t="s">
        <v>119</v>
      </c>
      <c r="C292" t="s">
        <v>589</v>
      </c>
      <c r="D292" s="3">
        <v>7080</v>
      </c>
      <c r="E292" s="2">
        <v>46195</v>
      </c>
      <c r="F292">
        <f t="shared" ca="1" si="8"/>
        <v>40</v>
      </c>
      <c r="G292" s="3">
        <f t="shared" si="9"/>
        <v>7080</v>
      </c>
    </row>
    <row r="293" spans="1:7">
      <c r="A293" s="2">
        <v>46198</v>
      </c>
      <c r="B293" t="s">
        <v>46</v>
      </c>
      <c r="C293" t="s">
        <v>333</v>
      </c>
      <c r="D293" s="3">
        <v>46030</v>
      </c>
      <c r="E293" s="2">
        <v>46198</v>
      </c>
      <c r="F293">
        <f t="shared" ca="1" si="8"/>
        <v>37</v>
      </c>
      <c r="G293" s="3">
        <f t="shared" si="9"/>
        <v>145391</v>
      </c>
    </row>
    <row r="294" spans="1:7">
      <c r="A294" s="2">
        <v>46198</v>
      </c>
      <c r="B294" t="s">
        <v>59</v>
      </c>
      <c r="C294" t="s">
        <v>383</v>
      </c>
      <c r="D294" s="3">
        <v>2950</v>
      </c>
      <c r="E294" s="2">
        <v>46198</v>
      </c>
      <c r="F294">
        <f t="shared" ca="1" si="8"/>
        <v>37</v>
      </c>
      <c r="G294" s="3">
        <f t="shared" si="9"/>
        <v>180026</v>
      </c>
    </row>
    <row r="295" spans="1:7">
      <c r="A295" s="2">
        <v>46198</v>
      </c>
      <c r="B295" t="s">
        <v>59</v>
      </c>
      <c r="C295" t="s">
        <v>384</v>
      </c>
      <c r="D295" s="3">
        <v>36694</v>
      </c>
      <c r="E295" s="2">
        <v>46198</v>
      </c>
      <c r="F295">
        <f t="shared" ca="1" si="8"/>
        <v>37</v>
      </c>
      <c r="G295" s="3">
        <f t="shared" si="9"/>
        <v>180026</v>
      </c>
    </row>
    <row r="296" spans="1:7">
      <c r="A296" s="2">
        <v>46198</v>
      </c>
      <c r="B296" t="s">
        <v>60</v>
      </c>
      <c r="C296" t="s">
        <v>398</v>
      </c>
      <c r="D296" s="3">
        <v>590</v>
      </c>
      <c r="E296" s="2">
        <v>46198</v>
      </c>
      <c r="F296">
        <f t="shared" ca="1" si="8"/>
        <v>37</v>
      </c>
      <c r="G296" s="3">
        <f t="shared" si="9"/>
        <v>78587</v>
      </c>
    </row>
    <row r="297" spans="1:7">
      <c r="A297" s="2">
        <v>46198</v>
      </c>
      <c r="B297" t="s">
        <v>84</v>
      </c>
      <c r="C297" t="s">
        <v>450</v>
      </c>
      <c r="D297" s="3">
        <v>15400</v>
      </c>
      <c r="E297" s="2">
        <v>46198</v>
      </c>
      <c r="F297">
        <f t="shared" ca="1" si="8"/>
        <v>37</v>
      </c>
      <c r="G297" s="3">
        <f t="shared" si="9"/>
        <v>15925</v>
      </c>
    </row>
    <row r="298" spans="1:7">
      <c r="A298" s="2">
        <v>46198</v>
      </c>
      <c r="B298" t="s">
        <v>98</v>
      </c>
      <c r="C298" t="s">
        <v>503</v>
      </c>
      <c r="D298" s="3">
        <v>1400</v>
      </c>
      <c r="E298" s="2">
        <v>46198</v>
      </c>
      <c r="F298">
        <f t="shared" ca="1" si="8"/>
        <v>37</v>
      </c>
      <c r="G298" s="3">
        <f t="shared" si="9"/>
        <v>4700</v>
      </c>
    </row>
    <row r="299" spans="1:7">
      <c r="A299" s="2">
        <v>46198</v>
      </c>
      <c r="B299" t="s">
        <v>126</v>
      </c>
      <c r="C299" t="s">
        <v>626</v>
      </c>
      <c r="D299" s="3">
        <v>531</v>
      </c>
      <c r="E299" s="2">
        <v>46198</v>
      </c>
      <c r="F299">
        <f t="shared" ca="1" si="8"/>
        <v>37</v>
      </c>
      <c r="G299" s="3">
        <f t="shared" si="9"/>
        <v>19046</v>
      </c>
    </row>
    <row r="300" spans="1:7">
      <c r="A300" s="2">
        <v>46199</v>
      </c>
      <c r="B300" t="s">
        <v>26</v>
      </c>
      <c r="C300" t="s">
        <v>234</v>
      </c>
      <c r="D300" s="3">
        <v>4511</v>
      </c>
      <c r="E300" s="2">
        <v>46199</v>
      </c>
      <c r="F300">
        <f t="shared" ca="1" si="8"/>
        <v>36</v>
      </c>
      <c r="G300" s="3">
        <f t="shared" si="9"/>
        <v>23286</v>
      </c>
    </row>
    <row r="301" spans="1:7">
      <c r="A301" s="2">
        <v>46199</v>
      </c>
      <c r="B301" t="s">
        <v>41</v>
      </c>
      <c r="C301" t="s">
        <v>323</v>
      </c>
      <c r="D301" s="3">
        <v>7657</v>
      </c>
      <c r="E301" s="2">
        <v>46199</v>
      </c>
      <c r="F301">
        <f t="shared" ca="1" si="8"/>
        <v>36</v>
      </c>
      <c r="G301" s="3">
        <f t="shared" si="9"/>
        <v>10782</v>
      </c>
    </row>
    <row r="302" spans="1:7">
      <c r="A302" s="2">
        <v>46199</v>
      </c>
      <c r="B302" t="s">
        <v>59</v>
      </c>
      <c r="C302" t="s">
        <v>385</v>
      </c>
      <c r="D302" s="3">
        <v>10891</v>
      </c>
      <c r="E302" s="2">
        <v>46199</v>
      </c>
      <c r="F302">
        <f t="shared" ca="1" si="8"/>
        <v>36</v>
      </c>
      <c r="G302" s="3">
        <f t="shared" si="9"/>
        <v>180026</v>
      </c>
    </row>
    <row r="303" spans="1:7">
      <c r="A303" s="2">
        <v>46199</v>
      </c>
      <c r="B303" t="s">
        <v>70</v>
      </c>
      <c r="C303" t="s">
        <v>412</v>
      </c>
      <c r="D303" s="3">
        <v>1200</v>
      </c>
      <c r="E303" s="2">
        <v>46199</v>
      </c>
      <c r="F303">
        <f t="shared" ca="1" si="8"/>
        <v>36</v>
      </c>
      <c r="G303" s="3">
        <f t="shared" si="9"/>
        <v>1200</v>
      </c>
    </row>
    <row r="304" spans="1:7">
      <c r="A304" s="2">
        <v>46199</v>
      </c>
      <c r="B304" t="s">
        <v>129</v>
      </c>
      <c r="C304" t="s">
        <v>649</v>
      </c>
      <c r="D304" s="3">
        <v>4200</v>
      </c>
      <c r="E304" s="2">
        <v>46199</v>
      </c>
      <c r="F304">
        <f t="shared" ca="1" si="8"/>
        <v>36</v>
      </c>
      <c r="G304" s="3">
        <f t="shared" si="9"/>
        <v>68445</v>
      </c>
    </row>
    <row r="305" spans="1:7">
      <c r="A305" s="2">
        <v>46200</v>
      </c>
      <c r="B305" t="s">
        <v>24</v>
      </c>
      <c r="C305" t="s">
        <v>209</v>
      </c>
      <c r="D305" s="3">
        <v>7000</v>
      </c>
      <c r="E305" s="2">
        <v>46200</v>
      </c>
      <c r="F305">
        <f t="shared" ca="1" si="8"/>
        <v>35</v>
      </c>
      <c r="G305" s="3">
        <f t="shared" si="9"/>
        <v>41253</v>
      </c>
    </row>
    <row r="306" spans="1:7">
      <c r="A306" s="2">
        <v>46200</v>
      </c>
      <c r="B306" t="s">
        <v>26</v>
      </c>
      <c r="C306" t="s">
        <v>235</v>
      </c>
      <c r="D306" s="3">
        <v>883</v>
      </c>
      <c r="E306" s="2">
        <v>46200</v>
      </c>
      <c r="F306">
        <f t="shared" ca="1" si="8"/>
        <v>35</v>
      </c>
      <c r="G306" s="3">
        <f t="shared" si="9"/>
        <v>23286</v>
      </c>
    </row>
    <row r="307" spans="1:7">
      <c r="A307" s="2">
        <v>46200</v>
      </c>
      <c r="B307" t="s">
        <v>27</v>
      </c>
      <c r="C307" t="s">
        <v>243</v>
      </c>
      <c r="D307" s="3">
        <v>4725</v>
      </c>
      <c r="E307" s="2">
        <v>46200</v>
      </c>
      <c r="F307">
        <f t="shared" ca="1" si="8"/>
        <v>35</v>
      </c>
      <c r="G307" s="3">
        <f t="shared" si="9"/>
        <v>66140</v>
      </c>
    </row>
    <row r="308" spans="1:7">
      <c r="A308" s="2">
        <v>46200</v>
      </c>
      <c r="B308" t="s">
        <v>30</v>
      </c>
      <c r="C308" t="s">
        <v>275</v>
      </c>
      <c r="D308" s="3">
        <v>1133</v>
      </c>
      <c r="E308" s="2">
        <v>46200</v>
      </c>
      <c r="F308">
        <f t="shared" ca="1" si="8"/>
        <v>35</v>
      </c>
      <c r="G308" s="3">
        <f t="shared" si="9"/>
        <v>238111</v>
      </c>
    </row>
    <row r="309" spans="1:7">
      <c r="A309" s="2">
        <v>46200</v>
      </c>
      <c r="B309" t="s">
        <v>39</v>
      </c>
      <c r="C309" t="s">
        <v>307</v>
      </c>
      <c r="D309" s="3">
        <v>1766</v>
      </c>
      <c r="E309" s="2">
        <v>46200</v>
      </c>
      <c r="F309">
        <f t="shared" ca="1" si="8"/>
        <v>35</v>
      </c>
      <c r="G309" s="3">
        <f t="shared" si="9"/>
        <v>53111</v>
      </c>
    </row>
    <row r="310" spans="1:7">
      <c r="A310" s="2">
        <v>46200</v>
      </c>
      <c r="B310" t="s">
        <v>40</v>
      </c>
      <c r="C310" t="s">
        <v>317</v>
      </c>
      <c r="D310" s="3">
        <v>16800</v>
      </c>
      <c r="E310" s="2">
        <v>46200</v>
      </c>
      <c r="F310">
        <f t="shared" ca="1" si="8"/>
        <v>35</v>
      </c>
      <c r="G310" s="3">
        <f t="shared" si="9"/>
        <v>115200</v>
      </c>
    </row>
    <row r="311" spans="1:7">
      <c r="A311" s="2">
        <v>46200</v>
      </c>
      <c r="B311" t="s">
        <v>47</v>
      </c>
      <c r="C311" t="s">
        <v>343</v>
      </c>
      <c r="D311" s="3">
        <v>14618</v>
      </c>
      <c r="E311" s="2">
        <v>46200</v>
      </c>
      <c r="F311">
        <f t="shared" ca="1" si="8"/>
        <v>35</v>
      </c>
      <c r="G311" s="3">
        <f t="shared" si="9"/>
        <v>67304</v>
      </c>
    </row>
    <row r="312" spans="1:7">
      <c r="A312" s="2">
        <v>46200</v>
      </c>
      <c r="B312" t="s">
        <v>49</v>
      </c>
      <c r="C312" t="s">
        <v>350</v>
      </c>
      <c r="D312" s="3">
        <v>3186</v>
      </c>
      <c r="E312" s="2">
        <v>46200</v>
      </c>
      <c r="F312">
        <f t="shared" ca="1" si="8"/>
        <v>35</v>
      </c>
      <c r="G312" s="3">
        <f t="shared" si="9"/>
        <v>3186</v>
      </c>
    </row>
    <row r="313" spans="1:7">
      <c r="A313" s="2">
        <v>46200</v>
      </c>
      <c r="B313" t="s">
        <v>76</v>
      </c>
      <c r="C313" t="s">
        <v>430</v>
      </c>
      <c r="D313" s="3">
        <v>19910</v>
      </c>
      <c r="E313" s="2">
        <v>46200</v>
      </c>
      <c r="F313">
        <f t="shared" ca="1" si="8"/>
        <v>35</v>
      </c>
      <c r="G313" s="3">
        <f t="shared" si="9"/>
        <v>182236</v>
      </c>
    </row>
    <row r="314" spans="1:7">
      <c r="A314" s="2">
        <v>46200</v>
      </c>
      <c r="B314" t="s">
        <v>82</v>
      </c>
      <c r="C314" t="s">
        <v>448</v>
      </c>
      <c r="D314" s="3">
        <v>11154</v>
      </c>
      <c r="E314" s="2">
        <v>46200</v>
      </c>
      <c r="F314">
        <f t="shared" ca="1" si="8"/>
        <v>35</v>
      </c>
      <c r="G314" s="3">
        <f t="shared" si="9"/>
        <v>15171</v>
      </c>
    </row>
    <row r="315" spans="1:7">
      <c r="A315" s="2">
        <v>46200</v>
      </c>
      <c r="B315" t="s">
        <v>84</v>
      </c>
      <c r="C315" t="s">
        <v>451</v>
      </c>
      <c r="D315" s="3">
        <v>525</v>
      </c>
      <c r="E315" s="2">
        <v>46200</v>
      </c>
      <c r="F315">
        <f t="shared" ca="1" si="8"/>
        <v>35</v>
      </c>
      <c r="G315" s="3">
        <f t="shared" si="9"/>
        <v>15925</v>
      </c>
    </row>
    <row r="316" spans="1:7">
      <c r="A316" s="2">
        <v>46200</v>
      </c>
      <c r="B316" t="s">
        <v>87</v>
      </c>
      <c r="C316" t="s">
        <v>454</v>
      </c>
      <c r="D316" s="3">
        <v>44775</v>
      </c>
      <c r="E316" s="2">
        <v>46200</v>
      </c>
      <c r="F316">
        <f t="shared" ca="1" si="8"/>
        <v>35</v>
      </c>
      <c r="G316" s="3">
        <f t="shared" si="9"/>
        <v>107502</v>
      </c>
    </row>
    <row r="317" spans="1:7">
      <c r="A317" s="2">
        <v>46200</v>
      </c>
      <c r="B317" t="s">
        <v>95</v>
      </c>
      <c r="C317" t="s">
        <v>484</v>
      </c>
      <c r="D317" s="3">
        <v>6720</v>
      </c>
      <c r="E317" s="2">
        <v>46200</v>
      </c>
      <c r="F317">
        <f t="shared" ca="1" si="8"/>
        <v>35</v>
      </c>
      <c r="G317" s="3">
        <f t="shared" si="9"/>
        <v>77473</v>
      </c>
    </row>
    <row r="318" spans="1:7">
      <c r="A318" s="2">
        <v>46200</v>
      </c>
      <c r="B318" t="s">
        <v>106</v>
      </c>
      <c r="C318" t="s">
        <v>530</v>
      </c>
      <c r="D318" s="3">
        <v>6076</v>
      </c>
      <c r="E318" s="2">
        <v>46200</v>
      </c>
      <c r="F318">
        <f t="shared" ca="1" si="8"/>
        <v>35</v>
      </c>
      <c r="G318" s="3">
        <f t="shared" si="9"/>
        <v>16423</v>
      </c>
    </row>
    <row r="319" spans="1:7">
      <c r="A319" s="2">
        <v>46200</v>
      </c>
      <c r="B319" t="s">
        <v>114</v>
      </c>
      <c r="C319" t="s">
        <v>554</v>
      </c>
      <c r="D319" s="3">
        <v>626</v>
      </c>
      <c r="E319" s="2">
        <v>46200</v>
      </c>
      <c r="F319">
        <f t="shared" ca="1" si="8"/>
        <v>35</v>
      </c>
      <c r="G319" s="3">
        <f t="shared" si="9"/>
        <v>14037</v>
      </c>
    </row>
    <row r="320" spans="1:7">
      <c r="A320" s="2">
        <v>46200</v>
      </c>
      <c r="B320" t="s">
        <v>128</v>
      </c>
      <c r="C320" t="s">
        <v>633</v>
      </c>
      <c r="D320" s="3">
        <v>20730</v>
      </c>
      <c r="E320" s="2">
        <v>46200</v>
      </c>
      <c r="F320">
        <f t="shared" ca="1" si="8"/>
        <v>35</v>
      </c>
      <c r="G320" s="3">
        <f t="shared" si="9"/>
        <v>29138</v>
      </c>
    </row>
    <row r="321" spans="1:7">
      <c r="A321" s="2">
        <v>46202</v>
      </c>
      <c r="B321" t="s">
        <v>40</v>
      </c>
      <c r="C321" t="s">
        <v>318</v>
      </c>
      <c r="D321" s="3">
        <v>18000</v>
      </c>
      <c r="E321" s="2">
        <v>46202</v>
      </c>
      <c r="F321">
        <f t="shared" ca="1" si="8"/>
        <v>33</v>
      </c>
      <c r="G321" s="3">
        <f t="shared" si="9"/>
        <v>115200</v>
      </c>
    </row>
    <row r="322" spans="1:7">
      <c r="A322" s="2">
        <v>46202</v>
      </c>
      <c r="B322" t="s">
        <v>87</v>
      </c>
      <c r="C322" t="s">
        <v>455</v>
      </c>
      <c r="D322" s="3">
        <v>21168</v>
      </c>
      <c r="E322" s="2">
        <v>46202</v>
      </c>
      <c r="F322">
        <f t="shared" ca="1" si="8"/>
        <v>33</v>
      </c>
      <c r="G322" s="3">
        <f t="shared" si="9"/>
        <v>107502</v>
      </c>
    </row>
    <row r="323" spans="1:7">
      <c r="A323" s="2">
        <v>46202</v>
      </c>
      <c r="B323" t="s">
        <v>92</v>
      </c>
      <c r="C323" t="s">
        <v>476</v>
      </c>
      <c r="D323" s="3">
        <v>1403</v>
      </c>
      <c r="E323" s="2">
        <v>46202</v>
      </c>
      <c r="F323">
        <f t="shared" ca="1" si="8"/>
        <v>33</v>
      </c>
      <c r="G323" s="3">
        <f t="shared" si="9"/>
        <v>58985</v>
      </c>
    </row>
    <row r="324" spans="1:7">
      <c r="A324" s="2">
        <v>46202</v>
      </c>
      <c r="B324" t="s">
        <v>118</v>
      </c>
      <c r="C324" t="s">
        <v>584</v>
      </c>
      <c r="D324" s="3">
        <v>2200</v>
      </c>
      <c r="E324" s="2">
        <v>46202</v>
      </c>
      <c r="F324">
        <f t="shared" ca="1" si="8"/>
        <v>33</v>
      </c>
      <c r="G324" s="3">
        <f t="shared" si="9"/>
        <v>158534</v>
      </c>
    </row>
    <row r="325" spans="1:7">
      <c r="A325" s="2">
        <v>46202</v>
      </c>
      <c r="B325" t="s">
        <v>120</v>
      </c>
      <c r="C325" t="s">
        <v>606</v>
      </c>
      <c r="D325" s="3">
        <v>2172</v>
      </c>
      <c r="E325" s="2">
        <v>46202</v>
      </c>
      <c r="F325">
        <f t="shared" ref="F325:F388" ca="1" si="10">TODAY()-E325</f>
        <v>33</v>
      </c>
      <c r="G325" s="3">
        <f t="shared" ref="G325:G388" si="11">SUMIF($B$5:$B$563,B325,$D$5:$D$563)</f>
        <v>109542</v>
      </c>
    </row>
    <row r="326" spans="1:7">
      <c r="A326" s="2">
        <v>46202</v>
      </c>
      <c r="B326" t="s">
        <v>129</v>
      </c>
      <c r="C326" t="s">
        <v>650</v>
      </c>
      <c r="D326" s="3">
        <v>4200</v>
      </c>
      <c r="E326" s="2">
        <v>46202</v>
      </c>
      <c r="F326">
        <f t="shared" ca="1" si="10"/>
        <v>33</v>
      </c>
      <c r="G326" s="3">
        <f t="shared" si="11"/>
        <v>68445</v>
      </c>
    </row>
    <row r="327" spans="1:7">
      <c r="A327" s="2">
        <v>46203</v>
      </c>
      <c r="B327" t="s">
        <v>59</v>
      </c>
      <c r="C327" t="s">
        <v>386</v>
      </c>
      <c r="D327" s="3">
        <v>36150</v>
      </c>
      <c r="E327" s="2">
        <v>46203</v>
      </c>
      <c r="F327">
        <f t="shared" ca="1" si="10"/>
        <v>32</v>
      </c>
      <c r="G327" s="3">
        <f t="shared" si="11"/>
        <v>180026</v>
      </c>
    </row>
    <row r="328" spans="1:7">
      <c r="A328" s="2">
        <v>46203</v>
      </c>
      <c r="B328" t="s">
        <v>71</v>
      </c>
      <c r="C328" t="s">
        <v>413</v>
      </c>
      <c r="D328" s="3">
        <v>3150</v>
      </c>
      <c r="E328" s="2">
        <v>46203</v>
      </c>
      <c r="F328">
        <f t="shared" ca="1" si="10"/>
        <v>32</v>
      </c>
      <c r="G328" s="3">
        <f t="shared" si="11"/>
        <v>3150</v>
      </c>
    </row>
    <row r="329" spans="1:7">
      <c r="A329" s="2">
        <v>46203</v>
      </c>
      <c r="B329" t="s">
        <v>81</v>
      </c>
      <c r="C329" t="s">
        <v>446</v>
      </c>
      <c r="D329" s="3">
        <v>7357</v>
      </c>
      <c r="E329" s="2">
        <v>46203</v>
      </c>
      <c r="F329">
        <f t="shared" ca="1" si="10"/>
        <v>32</v>
      </c>
      <c r="G329" s="3">
        <f t="shared" si="11"/>
        <v>7357</v>
      </c>
    </row>
    <row r="330" spans="1:7">
      <c r="A330" s="2">
        <v>46203</v>
      </c>
      <c r="B330" t="s">
        <v>120</v>
      </c>
      <c r="C330" t="s">
        <v>607</v>
      </c>
      <c r="D330" s="3">
        <v>3124</v>
      </c>
      <c r="E330" s="2">
        <v>46203</v>
      </c>
      <c r="F330">
        <f t="shared" ca="1" si="10"/>
        <v>32</v>
      </c>
      <c r="G330" s="3">
        <f t="shared" si="11"/>
        <v>109542</v>
      </c>
    </row>
    <row r="331" spans="1:7">
      <c r="A331" s="2">
        <v>46203</v>
      </c>
      <c r="B331" t="s">
        <v>131</v>
      </c>
      <c r="C331" t="s">
        <v>671</v>
      </c>
      <c r="D331" s="3">
        <v>3060</v>
      </c>
      <c r="E331" s="2">
        <v>46203</v>
      </c>
      <c r="F331">
        <f t="shared" ca="1" si="10"/>
        <v>32</v>
      </c>
      <c r="G331" s="3">
        <f t="shared" si="11"/>
        <v>86975</v>
      </c>
    </row>
    <row r="332" spans="1:7">
      <c r="A332" s="2">
        <v>46204</v>
      </c>
      <c r="B332" t="s">
        <v>55</v>
      </c>
      <c r="C332" t="s">
        <v>373</v>
      </c>
      <c r="D332" s="3">
        <v>11621</v>
      </c>
      <c r="E332" s="2">
        <v>46204</v>
      </c>
      <c r="F332">
        <f t="shared" ca="1" si="10"/>
        <v>31</v>
      </c>
      <c r="G332" s="3">
        <f t="shared" si="11"/>
        <v>66432</v>
      </c>
    </row>
    <row r="333" spans="1:7">
      <c r="A333" s="2">
        <v>46204</v>
      </c>
      <c r="B333" t="s">
        <v>55</v>
      </c>
      <c r="C333" t="s">
        <v>374</v>
      </c>
      <c r="D333" s="3">
        <v>1323</v>
      </c>
      <c r="E333" s="2">
        <v>46204</v>
      </c>
      <c r="F333">
        <f t="shared" ca="1" si="10"/>
        <v>31</v>
      </c>
      <c r="G333" s="3">
        <f t="shared" si="11"/>
        <v>66432</v>
      </c>
    </row>
    <row r="334" spans="1:7">
      <c r="A334" s="2">
        <v>46204</v>
      </c>
      <c r="B334" t="s">
        <v>59</v>
      </c>
      <c r="C334" t="s">
        <v>387</v>
      </c>
      <c r="D334" s="3">
        <v>1890</v>
      </c>
      <c r="E334" s="2">
        <v>46204</v>
      </c>
      <c r="F334">
        <f t="shared" ca="1" si="10"/>
        <v>31</v>
      </c>
      <c r="G334" s="3">
        <f t="shared" si="11"/>
        <v>180026</v>
      </c>
    </row>
    <row r="335" spans="1:7">
      <c r="A335" s="2">
        <v>46204</v>
      </c>
      <c r="B335" t="s">
        <v>78</v>
      </c>
      <c r="C335" t="s">
        <v>439</v>
      </c>
      <c r="D335" s="3">
        <v>5600</v>
      </c>
      <c r="E335" s="2">
        <v>46204</v>
      </c>
      <c r="F335">
        <f t="shared" ca="1" si="10"/>
        <v>31</v>
      </c>
      <c r="G335" s="3">
        <f t="shared" si="11"/>
        <v>28750</v>
      </c>
    </row>
    <row r="336" spans="1:7">
      <c r="A336" s="2">
        <v>46204</v>
      </c>
      <c r="B336" t="s">
        <v>99</v>
      </c>
      <c r="C336" t="s">
        <v>505</v>
      </c>
      <c r="D336" s="3">
        <v>1040</v>
      </c>
      <c r="E336" s="2">
        <v>46204</v>
      </c>
      <c r="F336">
        <f t="shared" ca="1" si="10"/>
        <v>31</v>
      </c>
      <c r="G336" s="3">
        <f t="shared" si="11"/>
        <v>1040</v>
      </c>
    </row>
    <row r="337" spans="1:7">
      <c r="A337" s="2">
        <v>46204</v>
      </c>
      <c r="B337" t="s">
        <v>120</v>
      </c>
      <c r="C337" t="s">
        <v>608</v>
      </c>
      <c r="D337" s="3">
        <v>1400</v>
      </c>
      <c r="E337" s="2">
        <v>46204</v>
      </c>
      <c r="F337">
        <f t="shared" ca="1" si="10"/>
        <v>31</v>
      </c>
      <c r="G337" s="3">
        <f t="shared" si="11"/>
        <v>109542</v>
      </c>
    </row>
    <row r="338" spans="1:7">
      <c r="A338" s="2">
        <v>46204</v>
      </c>
      <c r="B338" t="s">
        <v>127</v>
      </c>
      <c r="C338" t="s">
        <v>630</v>
      </c>
      <c r="D338" s="3">
        <v>6210</v>
      </c>
      <c r="E338" s="2">
        <v>46204</v>
      </c>
      <c r="F338">
        <f t="shared" ca="1" si="10"/>
        <v>31</v>
      </c>
      <c r="G338" s="3">
        <f t="shared" si="11"/>
        <v>7480</v>
      </c>
    </row>
    <row r="339" spans="1:7">
      <c r="A339" s="2">
        <v>46205</v>
      </c>
      <c r="B339" t="s">
        <v>44</v>
      </c>
      <c r="C339" t="s">
        <v>329</v>
      </c>
      <c r="D339" s="3">
        <v>15000</v>
      </c>
      <c r="E339" s="2">
        <v>46205</v>
      </c>
      <c r="F339">
        <f t="shared" ca="1" si="10"/>
        <v>30</v>
      </c>
      <c r="G339" s="3">
        <f t="shared" si="11"/>
        <v>30500</v>
      </c>
    </row>
    <row r="340" spans="1:7">
      <c r="A340" s="2">
        <v>46205</v>
      </c>
      <c r="B340" t="s">
        <v>134</v>
      </c>
      <c r="C340" t="s">
        <v>683</v>
      </c>
      <c r="D340" s="3">
        <v>6997</v>
      </c>
      <c r="E340" s="2">
        <v>46205</v>
      </c>
      <c r="F340">
        <f t="shared" ca="1" si="10"/>
        <v>30</v>
      </c>
      <c r="G340" s="3">
        <f t="shared" si="11"/>
        <v>70377</v>
      </c>
    </row>
    <row r="341" spans="1:7">
      <c r="A341" s="2">
        <v>46205</v>
      </c>
      <c r="B341" t="s">
        <v>134</v>
      </c>
      <c r="C341" t="s">
        <v>684</v>
      </c>
      <c r="D341" s="3">
        <v>1485</v>
      </c>
      <c r="E341" s="2">
        <v>46205</v>
      </c>
      <c r="F341">
        <f t="shared" ca="1" si="10"/>
        <v>30</v>
      </c>
      <c r="G341" s="3">
        <f t="shared" si="11"/>
        <v>70377</v>
      </c>
    </row>
    <row r="342" spans="1:7">
      <c r="A342" s="2">
        <v>46206</v>
      </c>
      <c r="B342" t="s">
        <v>15</v>
      </c>
      <c r="C342" t="s">
        <v>168</v>
      </c>
      <c r="D342" s="3">
        <v>32400</v>
      </c>
      <c r="E342" s="2">
        <v>46206</v>
      </c>
      <c r="F342">
        <f t="shared" ca="1" si="10"/>
        <v>29</v>
      </c>
      <c r="G342" s="3">
        <f t="shared" si="11"/>
        <v>119404</v>
      </c>
    </row>
    <row r="343" spans="1:7">
      <c r="A343" s="2">
        <v>46206</v>
      </c>
      <c r="B343" t="s">
        <v>85</v>
      </c>
      <c r="C343" t="s">
        <v>452</v>
      </c>
      <c r="D343" s="3">
        <v>295</v>
      </c>
      <c r="E343" s="2">
        <v>46206</v>
      </c>
      <c r="F343">
        <f t="shared" ca="1" si="10"/>
        <v>29</v>
      </c>
      <c r="G343" s="3">
        <f t="shared" si="11"/>
        <v>295</v>
      </c>
    </row>
    <row r="344" spans="1:7">
      <c r="A344" s="2">
        <v>46206</v>
      </c>
      <c r="B344" t="s">
        <v>86</v>
      </c>
      <c r="C344" t="s">
        <v>453</v>
      </c>
      <c r="D344" s="3">
        <v>2832</v>
      </c>
      <c r="E344" s="2">
        <v>46206</v>
      </c>
      <c r="F344">
        <f t="shared" ca="1" si="10"/>
        <v>29</v>
      </c>
      <c r="G344" s="3">
        <f t="shared" si="11"/>
        <v>2832</v>
      </c>
    </row>
    <row r="345" spans="1:7">
      <c r="A345" s="2">
        <v>46206</v>
      </c>
      <c r="B345" t="s">
        <v>126</v>
      </c>
      <c r="C345" t="s">
        <v>627</v>
      </c>
      <c r="D345" s="3">
        <v>4779</v>
      </c>
      <c r="E345" s="2">
        <v>46206</v>
      </c>
      <c r="F345">
        <f t="shared" ca="1" si="10"/>
        <v>29</v>
      </c>
      <c r="G345" s="3">
        <f t="shared" si="11"/>
        <v>19046</v>
      </c>
    </row>
    <row r="346" spans="1:7">
      <c r="A346" s="2">
        <v>46207</v>
      </c>
      <c r="B346" t="s">
        <v>25</v>
      </c>
      <c r="C346" t="s">
        <v>221</v>
      </c>
      <c r="D346" s="3">
        <v>20425</v>
      </c>
      <c r="E346" s="2">
        <v>46207</v>
      </c>
      <c r="F346">
        <f t="shared" ca="1" si="10"/>
        <v>28</v>
      </c>
      <c r="G346" s="3">
        <f t="shared" si="11"/>
        <v>92608</v>
      </c>
    </row>
    <row r="347" spans="1:7">
      <c r="A347" s="2">
        <v>46207</v>
      </c>
      <c r="B347" t="s">
        <v>27</v>
      </c>
      <c r="C347" t="s">
        <v>244</v>
      </c>
      <c r="D347" s="3">
        <v>991</v>
      </c>
      <c r="E347" s="2">
        <v>46207</v>
      </c>
      <c r="F347">
        <f t="shared" ca="1" si="10"/>
        <v>28</v>
      </c>
      <c r="G347" s="3">
        <f t="shared" si="11"/>
        <v>66140</v>
      </c>
    </row>
    <row r="348" spans="1:7">
      <c r="A348" s="2">
        <v>46207</v>
      </c>
      <c r="B348" t="s">
        <v>30</v>
      </c>
      <c r="C348" t="s">
        <v>276</v>
      </c>
      <c r="D348" s="3">
        <v>1590</v>
      </c>
      <c r="E348" s="2">
        <v>46207</v>
      </c>
      <c r="F348">
        <f t="shared" ca="1" si="10"/>
        <v>28</v>
      </c>
      <c r="G348" s="3">
        <f t="shared" si="11"/>
        <v>238111</v>
      </c>
    </row>
    <row r="349" spans="1:7">
      <c r="A349" s="2">
        <v>46207</v>
      </c>
      <c r="B349" t="s">
        <v>39</v>
      </c>
      <c r="C349" t="s">
        <v>308</v>
      </c>
      <c r="D349" s="3">
        <v>495</v>
      </c>
      <c r="E349" s="2">
        <v>46207</v>
      </c>
      <c r="F349">
        <f t="shared" ca="1" si="10"/>
        <v>28</v>
      </c>
      <c r="G349" s="3">
        <f t="shared" si="11"/>
        <v>53111</v>
      </c>
    </row>
    <row r="350" spans="1:7">
      <c r="A350" s="2">
        <v>46207</v>
      </c>
      <c r="B350" t="s">
        <v>46</v>
      </c>
      <c r="C350" t="s">
        <v>334</v>
      </c>
      <c r="D350" s="3">
        <v>9540</v>
      </c>
      <c r="E350" s="2">
        <v>46207</v>
      </c>
      <c r="F350">
        <f t="shared" ca="1" si="10"/>
        <v>28</v>
      </c>
      <c r="G350" s="3">
        <f t="shared" si="11"/>
        <v>145391</v>
      </c>
    </row>
    <row r="351" spans="1:7">
      <c r="A351" s="2">
        <v>46207</v>
      </c>
      <c r="B351" t="s">
        <v>47</v>
      </c>
      <c r="C351" t="s">
        <v>344</v>
      </c>
      <c r="D351" s="3">
        <v>8047</v>
      </c>
      <c r="E351" s="2">
        <v>46207</v>
      </c>
      <c r="F351">
        <f t="shared" ca="1" si="10"/>
        <v>28</v>
      </c>
      <c r="G351" s="3">
        <f t="shared" si="11"/>
        <v>67304</v>
      </c>
    </row>
    <row r="352" spans="1:7">
      <c r="A352" s="2">
        <v>46207</v>
      </c>
      <c r="B352" t="s">
        <v>65</v>
      </c>
      <c r="C352" t="s">
        <v>406</v>
      </c>
      <c r="D352" s="3">
        <v>2160</v>
      </c>
      <c r="E352" s="2">
        <v>46207</v>
      </c>
      <c r="F352">
        <f t="shared" ca="1" si="10"/>
        <v>28</v>
      </c>
      <c r="G352" s="3">
        <f t="shared" si="11"/>
        <v>8114</v>
      </c>
    </row>
    <row r="353" spans="1:7">
      <c r="A353" s="2">
        <v>46207</v>
      </c>
      <c r="B353" t="s">
        <v>87</v>
      </c>
      <c r="C353" t="s">
        <v>456</v>
      </c>
      <c r="D353" s="3">
        <v>5850</v>
      </c>
      <c r="E353" s="2">
        <v>46207</v>
      </c>
      <c r="F353">
        <f t="shared" ca="1" si="10"/>
        <v>28</v>
      </c>
      <c r="G353" s="3">
        <f t="shared" si="11"/>
        <v>107502</v>
      </c>
    </row>
    <row r="354" spans="1:7">
      <c r="A354" s="2">
        <v>46207</v>
      </c>
      <c r="B354" t="s">
        <v>95</v>
      </c>
      <c r="C354" t="s">
        <v>485</v>
      </c>
      <c r="D354" s="3">
        <v>8876</v>
      </c>
      <c r="E354" s="2">
        <v>46207</v>
      </c>
      <c r="F354">
        <f t="shared" ca="1" si="10"/>
        <v>28</v>
      </c>
      <c r="G354" s="3">
        <f t="shared" si="11"/>
        <v>77473</v>
      </c>
    </row>
    <row r="355" spans="1:7">
      <c r="A355" s="2">
        <v>46207</v>
      </c>
      <c r="B355" t="s">
        <v>111</v>
      </c>
      <c r="C355" t="s">
        <v>546</v>
      </c>
      <c r="D355" s="3">
        <v>2880</v>
      </c>
      <c r="E355" s="2">
        <v>46207</v>
      </c>
      <c r="F355">
        <f t="shared" ca="1" si="10"/>
        <v>28</v>
      </c>
      <c r="G355" s="3">
        <f t="shared" si="11"/>
        <v>2880</v>
      </c>
    </row>
    <row r="356" spans="1:7">
      <c r="A356" s="2">
        <v>46207</v>
      </c>
      <c r="B356" t="s">
        <v>118</v>
      </c>
      <c r="C356" t="s">
        <v>585</v>
      </c>
      <c r="D356" s="3">
        <v>2760</v>
      </c>
      <c r="E356" s="2">
        <v>46207</v>
      </c>
      <c r="F356">
        <f t="shared" ca="1" si="10"/>
        <v>28</v>
      </c>
      <c r="G356" s="3">
        <f t="shared" si="11"/>
        <v>158534</v>
      </c>
    </row>
    <row r="357" spans="1:7">
      <c r="A357" s="2">
        <v>46207</v>
      </c>
      <c r="B357" t="s">
        <v>122</v>
      </c>
      <c r="C357" t="s">
        <v>619</v>
      </c>
      <c r="D357" s="3">
        <v>3975</v>
      </c>
      <c r="E357" s="2">
        <v>46207</v>
      </c>
      <c r="F357">
        <f t="shared" ca="1" si="10"/>
        <v>28</v>
      </c>
      <c r="G357" s="3">
        <f t="shared" si="11"/>
        <v>22615</v>
      </c>
    </row>
    <row r="358" spans="1:7">
      <c r="A358" s="2">
        <v>46207</v>
      </c>
      <c r="B358" t="s">
        <v>128</v>
      </c>
      <c r="C358" t="s">
        <v>634</v>
      </c>
      <c r="D358" s="3">
        <v>270</v>
      </c>
      <c r="E358" s="2">
        <v>46207</v>
      </c>
      <c r="F358">
        <f t="shared" ca="1" si="10"/>
        <v>28</v>
      </c>
      <c r="G358" s="3">
        <f t="shared" si="11"/>
        <v>29138</v>
      </c>
    </row>
    <row r="359" spans="1:7">
      <c r="A359" s="2">
        <v>46207</v>
      </c>
      <c r="B359" t="s">
        <v>131</v>
      </c>
      <c r="C359" t="s">
        <v>672</v>
      </c>
      <c r="D359" s="3">
        <v>1184</v>
      </c>
      <c r="E359" s="2">
        <v>46207</v>
      </c>
      <c r="F359">
        <f t="shared" ca="1" si="10"/>
        <v>28</v>
      </c>
      <c r="G359" s="3">
        <f t="shared" si="11"/>
        <v>86975</v>
      </c>
    </row>
    <row r="360" spans="1:7">
      <c r="A360" s="2">
        <v>46207</v>
      </c>
      <c r="B360" t="s">
        <v>132</v>
      </c>
      <c r="C360" t="s">
        <v>677</v>
      </c>
      <c r="D360" s="3">
        <v>216</v>
      </c>
      <c r="E360" s="2">
        <v>46207</v>
      </c>
      <c r="F360">
        <f t="shared" ca="1" si="10"/>
        <v>28</v>
      </c>
      <c r="G360" s="3">
        <f t="shared" si="11"/>
        <v>19560</v>
      </c>
    </row>
    <row r="361" spans="1:7">
      <c r="A361" s="2">
        <v>46207</v>
      </c>
      <c r="B361" t="s">
        <v>134</v>
      </c>
      <c r="C361" t="s">
        <v>685</v>
      </c>
      <c r="D361" s="3">
        <v>3510</v>
      </c>
      <c r="E361" s="2">
        <v>46207</v>
      </c>
      <c r="F361">
        <f t="shared" ca="1" si="10"/>
        <v>28</v>
      </c>
      <c r="G361" s="3">
        <f t="shared" si="11"/>
        <v>70377</v>
      </c>
    </row>
    <row r="362" spans="1:7">
      <c r="A362" s="2">
        <v>46209</v>
      </c>
      <c r="B362" t="s">
        <v>18</v>
      </c>
      <c r="C362" t="s">
        <v>178</v>
      </c>
      <c r="D362" s="3">
        <v>2739</v>
      </c>
      <c r="E362" s="2">
        <v>46209</v>
      </c>
      <c r="F362">
        <f t="shared" ca="1" si="10"/>
        <v>26</v>
      </c>
      <c r="G362" s="3">
        <f t="shared" si="11"/>
        <v>12267</v>
      </c>
    </row>
    <row r="363" spans="1:7">
      <c r="A363" s="2">
        <v>46209</v>
      </c>
      <c r="B363" t="s">
        <v>39</v>
      </c>
      <c r="C363" t="s">
        <v>309</v>
      </c>
      <c r="D363" s="3">
        <v>1751</v>
      </c>
      <c r="E363" s="2">
        <v>46209</v>
      </c>
      <c r="F363">
        <f t="shared" ca="1" si="10"/>
        <v>26</v>
      </c>
      <c r="G363" s="3">
        <f t="shared" si="11"/>
        <v>53111</v>
      </c>
    </row>
    <row r="364" spans="1:7">
      <c r="A364" s="2">
        <v>46209</v>
      </c>
      <c r="B364" t="s">
        <v>110</v>
      </c>
      <c r="C364" t="s">
        <v>541</v>
      </c>
      <c r="D364" s="3">
        <v>310</v>
      </c>
      <c r="E364" s="2">
        <v>46209</v>
      </c>
      <c r="F364">
        <f t="shared" ca="1" si="10"/>
        <v>26</v>
      </c>
      <c r="G364" s="3">
        <f t="shared" si="11"/>
        <v>8878</v>
      </c>
    </row>
    <row r="365" spans="1:7">
      <c r="A365" s="2">
        <v>46209</v>
      </c>
      <c r="B365" t="s">
        <v>123</v>
      </c>
      <c r="C365" t="s">
        <v>620</v>
      </c>
      <c r="D365" s="3">
        <v>2360</v>
      </c>
      <c r="E365" s="2">
        <v>46209</v>
      </c>
      <c r="F365">
        <f t="shared" ca="1" si="10"/>
        <v>26</v>
      </c>
      <c r="G365" s="3">
        <f t="shared" si="11"/>
        <v>2360</v>
      </c>
    </row>
    <row r="366" spans="1:7">
      <c r="A366" s="2">
        <v>46210</v>
      </c>
      <c r="B366" t="s">
        <v>46</v>
      </c>
      <c r="C366" t="s">
        <v>335</v>
      </c>
      <c r="D366" s="3">
        <v>24038</v>
      </c>
      <c r="E366" s="2">
        <v>46210</v>
      </c>
      <c r="F366">
        <f t="shared" ca="1" si="10"/>
        <v>25</v>
      </c>
      <c r="G366" s="3">
        <f t="shared" si="11"/>
        <v>145391</v>
      </c>
    </row>
    <row r="367" spans="1:7">
      <c r="A367" s="2">
        <v>46210</v>
      </c>
      <c r="B367" t="s">
        <v>62</v>
      </c>
      <c r="C367" t="s">
        <v>400</v>
      </c>
      <c r="D367" s="3">
        <v>675</v>
      </c>
      <c r="E367" s="2">
        <v>46210</v>
      </c>
      <c r="F367">
        <f t="shared" ca="1" si="10"/>
        <v>25</v>
      </c>
      <c r="G367" s="3">
        <f t="shared" si="11"/>
        <v>675</v>
      </c>
    </row>
    <row r="368" spans="1:7">
      <c r="A368" s="2">
        <v>46210</v>
      </c>
      <c r="B368" t="s">
        <v>67</v>
      </c>
      <c r="C368" t="s">
        <v>409</v>
      </c>
      <c r="D368" s="3">
        <v>7670</v>
      </c>
      <c r="E368" s="2">
        <v>46210</v>
      </c>
      <c r="F368">
        <f t="shared" ca="1" si="10"/>
        <v>25</v>
      </c>
      <c r="G368" s="3">
        <f t="shared" si="11"/>
        <v>7670</v>
      </c>
    </row>
    <row r="369" spans="1:7">
      <c r="A369" s="2">
        <v>46210</v>
      </c>
      <c r="B369" t="s">
        <v>98</v>
      </c>
      <c r="C369" t="s">
        <v>504</v>
      </c>
      <c r="D369" s="3">
        <v>3300</v>
      </c>
      <c r="E369" s="2">
        <v>46210</v>
      </c>
      <c r="F369">
        <f t="shared" ca="1" si="10"/>
        <v>25</v>
      </c>
      <c r="G369" s="3">
        <f t="shared" si="11"/>
        <v>4700</v>
      </c>
    </row>
    <row r="370" spans="1:7">
      <c r="A370" s="2">
        <v>46210</v>
      </c>
      <c r="B370" t="s">
        <v>110</v>
      </c>
      <c r="C370" t="s">
        <v>542</v>
      </c>
      <c r="D370" s="3">
        <v>3700</v>
      </c>
      <c r="E370" s="2">
        <v>46210</v>
      </c>
      <c r="F370">
        <f t="shared" ca="1" si="10"/>
        <v>25</v>
      </c>
      <c r="G370" s="3">
        <f t="shared" si="11"/>
        <v>8878</v>
      </c>
    </row>
    <row r="371" spans="1:7">
      <c r="A371" s="2">
        <v>46210</v>
      </c>
      <c r="B371" t="s">
        <v>129</v>
      </c>
      <c r="C371" t="s">
        <v>651</v>
      </c>
      <c r="D371" s="3">
        <v>9245</v>
      </c>
      <c r="E371" s="2">
        <v>46210</v>
      </c>
      <c r="F371">
        <f t="shared" ca="1" si="10"/>
        <v>25</v>
      </c>
      <c r="G371" s="3">
        <f t="shared" si="11"/>
        <v>68445</v>
      </c>
    </row>
    <row r="372" spans="1:7">
      <c r="A372" s="2">
        <v>46210</v>
      </c>
      <c r="B372" t="s">
        <v>132</v>
      </c>
      <c r="C372" t="s">
        <v>678</v>
      </c>
      <c r="D372" s="3">
        <v>2112</v>
      </c>
      <c r="E372" s="2">
        <v>46210</v>
      </c>
      <c r="F372">
        <f t="shared" ca="1" si="10"/>
        <v>25</v>
      </c>
      <c r="G372" s="3">
        <f t="shared" si="11"/>
        <v>19560</v>
      </c>
    </row>
    <row r="373" spans="1:7">
      <c r="A373" s="2">
        <v>46211</v>
      </c>
      <c r="B373" t="s">
        <v>17</v>
      </c>
      <c r="C373" t="s">
        <v>175</v>
      </c>
      <c r="D373" s="3">
        <v>15000</v>
      </c>
      <c r="E373" s="2">
        <v>46211</v>
      </c>
      <c r="F373">
        <f t="shared" ca="1" si="10"/>
        <v>24</v>
      </c>
      <c r="G373" s="3">
        <f t="shared" si="11"/>
        <v>17788</v>
      </c>
    </row>
    <row r="374" spans="1:7">
      <c r="A374" s="2">
        <v>46211</v>
      </c>
      <c r="B374" t="s">
        <v>54</v>
      </c>
      <c r="C374" t="s">
        <v>368</v>
      </c>
      <c r="D374" s="3">
        <v>1500</v>
      </c>
      <c r="E374" s="2">
        <v>46211</v>
      </c>
      <c r="F374">
        <f t="shared" ca="1" si="10"/>
        <v>24</v>
      </c>
      <c r="G374" s="3">
        <f t="shared" si="11"/>
        <v>3365</v>
      </c>
    </row>
    <row r="375" spans="1:7">
      <c r="A375" s="2">
        <v>46211</v>
      </c>
      <c r="B375" t="s">
        <v>92</v>
      </c>
      <c r="C375" t="s">
        <v>477</v>
      </c>
      <c r="D375" s="3">
        <v>25920</v>
      </c>
      <c r="E375" s="2">
        <v>46211</v>
      </c>
      <c r="F375">
        <f t="shared" ca="1" si="10"/>
        <v>24</v>
      </c>
      <c r="G375" s="3">
        <f t="shared" si="11"/>
        <v>58985</v>
      </c>
    </row>
    <row r="376" spans="1:7">
      <c r="A376" s="2">
        <v>46211</v>
      </c>
      <c r="B376" t="s">
        <v>110</v>
      </c>
      <c r="C376" t="s">
        <v>543</v>
      </c>
      <c r="D376" s="3">
        <v>850</v>
      </c>
      <c r="E376" s="2">
        <v>46211</v>
      </c>
      <c r="F376">
        <f t="shared" ca="1" si="10"/>
        <v>24</v>
      </c>
      <c r="G376" s="3">
        <f t="shared" si="11"/>
        <v>8878</v>
      </c>
    </row>
    <row r="377" spans="1:7">
      <c r="A377" s="2">
        <v>46211</v>
      </c>
      <c r="B377" t="s">
        <v>127</v>
      </c>
      <c r="C377" t="s">
        <v>631</v>
      </c>
      <c r="D377" s="3">
        <v>520</v>
      </c>
      <c r="E377" s="2">
        <v>46211</v>
      </c>
      <c r="F377">
        <f t="shared" ca="1" si="10"/>
        <v>24</v>
      </c>
      <c r="G377" s="3">
        <f t="shared" si="11"/>
        <v>7480</v>
      </c>
    </row>
    <row r="378" spans="1:7">
      <c r="A378" s="2">
        <v>46212</v>
      </c>
      <c r="B378" t="s">
        <v>36</v>
      </c>
      <c r="C378" t="s">
        <v>294</v>
      </c>
      <c r="D378" s="3">
        <v>7296</v>
      </c>
      <c r="E378" s="2">
        <v>46212</v>
      </c>
      <c r="F378">
        <f t="shared" ca="1" si="10"/>
        <v>23</v>
      </c>
      <c r="G378" s="3">
        <f t="shared" si="11"/>
        <v>17096</v>
      </c>
    </row>
    <row r="379" spans="1:7">
      <c r="A379" s="2">
        <v>46212</v>
      </c>
      <c r="B379" t="s">
        <v>43</v>
      </c>
      <c r="C379" t="s">
        <v>327</v>
      </c>
      <c r="D379" s="3">
        <v>8921</v>
      </c>
      <c r="E379" s="2">
        <v>46212</v>
      </c>
      <c r="F379">
        <f t="shared" ca="1" si="10"/>
        <v>23</v>
      </c>
      <c r="G379" s="3">
        <f t="shared" si="11"/>
        <v>68959</v>
      </c>
    </row>
    <row r="380" spans="1:7">
      <c r="A380" s="2">
        <v>46212</v>
      </c>
      <c r="B380" t="s">
        <v>79</v>
      </c>
      <c r="C380" t="s">
        <v>444</v>
      </c>
      <c r="D380" s="3">
        <v>18129</v>
      </c>
      <c r="E380" s="2">
        <v>46212</v>
      </c>
      <c r="F380">
        <f t="shared" ca="1" si="10"/>
        <v>23</v>
      </c>
      <c r="G380" s="3">
        <f t="shared" si="11"/>
        <v>108563</v>
      </c>
    </row>
    <row r="381" spans="1:7">
      <c r="A381" s="2">
        <v>46212</v>
      </c>
      <c r="B381" t="s">
        <v>97</v>
      </c>
      <c r="C381" t="s">
        <v>497</v>
      </c>
      <c r="D381" s="3">
        <v>1301</v>
      </c>
      <c r="E381" s="2">
        <v>46212</v>
      </c>
      <c r="F381">
        <f t="shared" ca="1" si="10"/>
        <v>23</v>
      </c>
      <c r="G381" s="3">
        <f t="shared" si="11"/>
        <v>22276</v>
      </c>
    </row>
    <row r="382" spans="1:7">
      <c r="A382" s="2">
        <v>46212</v>
      </c>
      <c r="B382" t="s">
        <v>113</v>
      </c>
      <c r="C382" t="s">
        <v>548</v>
      </c>
      <c r="D382" s="3">
        <v>19057</v>
      </c>
      <c r="E382" s="2">
        <v>46212</v>
      </c>
      <c r="F382">
        <f t="shared" ca="1" si="10"/>
        <v>23</v>
      </c>
      <c r="G382" s="3">
        <f t="shared" si="11"/>
        <v>19057</v>
      </c>
    </row>
    <row r="383" spans="1:7">
      <c r="A383" s="2">
        <v>46212</v>
      </c>
      <c r="B383" t="s">
        <v>116</v>
      </c>
      <c r="C383" t="s">
        <v>562</v>
      </c>
      <c r="D383" s="3">
        <v>332</v>
      </c>
      <c r="E383" s="2">
        <v>46212</v>
      </c>
      <c r="F383">
        <f t="shared" ca="1" si="10"/>
        <v>23</v>
      </c>
      <c r="G383" s="3">
        <f t="shared" si="11"/>
        <v>2092</v>
      </c>
    </row>
    <row r="384" spans="1:7">
      <c r="A384" s="2">
        <v>46212</v>
      </c>
      <c r="B384" t="s">
        <v>117</v>
      </c>
      <c r="C384" t="s">
        <v>563</v>
      </c>
      <c r="D384" s="3">
        <v>23100</v>
      </c>
      <c r="E384" s="2">
        <v>46212</v>
      </c>
      <c r="F384">
        <f t="shared" ca="1" si="10"/>
        <v>23</v>
      </c>
      <c r="G384" s="3">
        <f t="shared" si="11"/>
        <v>23100</v>
      </c>
    </row>
    <row r="385" spans="1:7">
      <c r="A385" s="2">
        <v>46212</v>
      </c>
      <c r="B385" t="s">
        <v>120</v>
      </c>
      <c r="C385" t="s">
        <v>609</v>
      </c>
      <c r="D385" s="3">
        <v>619</v>
      </c>
      <c r="E385" s="2">
        <v>46212</v>
      </c>
      <c r="F385">
        <f t="shared" ca="1" si="10"/>
        <v>23</v>
      </c>
      <c r="G385" s="3">
        <f t="shared" si="11"/>
        <v>109542</v>
      </c>
    </row>
    <row r="386" spans="1:7">
      <c r="A386" s="2">
        <v>46212</v>
      </c>
      <c r="B386" t="s">
        <v>133</v>
      </c>
      <c r="C386" t="s">
        <v>680</v>
      </c>
      <c r="D386" s="3">
        <v>1448</v>
      </c>
      <c r="E386" s="2">
        <v>46212</v>
      </c>
      <c r="F386">
        <f t="shared" ca="1" si="10"/>
        <v>23</v>
      </c>
      <c r="G386" s="3">
        <f t="shared" si="11"/>
        <v>1448</v>
      </c>
    </row>
    <row r="387" spans="1:7">
      <c r="A387" s="2">
        <v>46213</v>
      </c>
      <c r="B387" t="s">
        <v>21</v>
      </c>
      <c r="C387" t="s">
        <v>192</v>
      </c>
      <c r="D387" s="3">
        <v>732</v>
      </c>
      <c r="E387" s="2">
        <v>46213</v>
      </c>
      <c r="F387">
        <f t="shared" ca="1" si="10"/>
        <v>22</v>
      </c>
      <c r="G387" s="3">
        <f t="shared" si="11"/>
        <v>52708</v>
      </c>
    </row>
    <row r="388" spans="1:7">
      <c r="A388" s="2">
        <v>46213</v>
      </c>
      <c r="B388" t="s">
        <v>23</v>
      </c>
      <c r="C388" t="s">
        <v>202</v>
      </c>
      <c r="D388" s="3">
        <v>1238</v>
      </c>
      <c r="E388" s="2">
        <v>46213</v>
      </c>
      <c r="F388">
        <f t="shared" ca="1" si="10"/>
        <v>22</v>
      </c>
      <c r="G388" s="3">
        <f t="shared" si="11"/>
        <v>1238</v>
      </c>
    </row>
    <row r="389" spans="1:7">
      <c r="A389" s="2">
        <v>46213</v>
      </c>
      <c r="B389" t="s">
        <v>26</v>
      </c>
      <c r="C389" t="s">
        <v>236</v>
      </c>
      <c r="D389" s="3">
        <v>3300</v>
      </c>
      <c r="E389" s="2">
        <v>46213</v>
      </c>
      <c r="F389">
        <f t="shared" ref="F389:F452" ca="1" si="12">TODAY()-E389</f>
        <v>22</v>
      </c>
      <c r="G389" s="3">
        <f t="shared" ref="G389:G452" si="13">SUMIF($B$5:$B$563,B389,$D$5:$D$563)</f>
        <v>23286</v>
      </c>
    </row>
    <row r="390" spans="1:7">
      <c r="A390" s="2">
        <v>46213</v>
      </c>
      <c r="B390" t="s">
        <v>54</v>
      </c>
      <c r="C390" t="s">
        <v>369</v>
      </c>
      <c r="D390" s="3">
        <v>307</v>
      </c>
      <c r="E390" s="2">
        <v>46213</v>
      </c>
      <c r="F390">
        <f t="shared" ca="1" si="12"/>
        <v>22</v>
      </c>
      <c r="G390" s="3">
        <f t="shared" si="13"/>
        <v>3365</v>
      </c>
    </row>
    <row r="391" spans="1:7">
      <c r="A391" s="2">
        <v>46213</v>
      </c>
      <c r="B391" t="s">
        <v>120</v>
      </c>
      <c r="C391" t="s">
        <v>610</v>
      </c>
      <c r="D391" s="3">
        <v>11025</v>
      </c>
      <c r="E391" s="2">
        <v>46213</v>
      </c>
      <c r="F391">
        <f t="shared" ca="1" si="12"/>
        <v>22</v>
      </c>
      <c r="G391" s="3">
        <f t="shared" si="13"/>
        <v>109542</v>
      </c>
    </row>
    <row r="392" spans="1:7">
      <c r="A392" s="2">
        <v>46213</v>
      </c>
      <c r="B392" t="s">
        <v>127</v>
      </c>
      <c r="C392" t="s">
        <v>632</v>
      </c>
      <c r="D392" s="3">
        <v>750</v>
      </c>
      <c r="E392" s="2">
        <v>46213</v>
      </c>
      <c r="F392">
        <f t="shared" ca="1" si="12"/>
        <v>22</v>
      </c>
      <c r="G392" s="3">
        <f t="shared" si="13"/>
        <v>7480</v>
      </c>
    </row>
    <row r="393" spans="1:7">
      <c r="A393" s="2">
        <v>46213</v>
      </c>
      <c r="B393" t="s">
        <v>129</v>
      </c>
      <c r="C393" t="s">
        <v>652</v>
      </c>
      <c r="D393" s="3">
        <v>4200</v>
      </c>
      <c r="E393" s="2">
        <v>46213</v>
      </c>
      <c r="F393">
        <f t="shared" ca="1" si="12"/>
        <v>22</v>
      </c>
      <c r="G393" s="3">
        <f t="shared" si="13"/>
        <v>68445</v>
      </c>
    </row>
    <row r="394" spans="1:7">
      <c r="A394" s="2">
        <v>46213</v>
      </c>
      <c r="B394" t="s">
        <v>130</v>
      </c>
      <c r="C394" t="s">
        <v>655</v>
      </c>
      <c r="D394" s="3">
        <v>2673</v>
      </c>
      <c r="E394" s="2">
        <v>46213</v>
      </c>
      <c r="F394">
        <f t="shared" ca="1" si="12"/>
        <v>22</v>
      </c>
      <c r="G394" s="3">
        <f t="shared" si="13"/>
        <v>23173</v>
      </c>
    </row>
    <row r="395" spans="1:7">
      <c r="A395" s="2">
        <v>46214</v>
      </c>
      <c r="B395" t="s">
        <v>12</v>
      </c>
      <c r="C395" t="s">
        <v>154</v>
      </c>
      <c r="D395" s="3">
        <v>3250</v>
      </c>
      <c r="E395" s="2">
        <v>46214</v>
      </c>
      <c r="F395">
        <f t="shared" ca="1" si="12"/>
        <v>21</v>
      </c>
      <c r="G395" s="3">
        <f t="shared" si="13"/>
        <v>26244</v>
      </c>
    </row>
    <row r="396" spans="1:7">
      <c r="A396" s="2">
        <v>46214</v>
      </c>
      <c r="B396" t="s">
        <v>25</v>
      </c>
      <c r="C396" t="s">
        <v>222</v>
      </c>
      <c r="D396" s="3">
        <v>1500</v>
      </c>
      <c r="E396" s="2">
        <v>46214</v>
      </c>
      <c r="F396">
        <f t="shared" ca="1" si="12"/>
        <v>21</v>
      </c>
      <c r="G396" s="3">
        <f t="shared" si="13"/>
        <v>92608</v>
      </c>
    </row>
    <row r="397" spans="1:7">
      <c r="A397" s="2">
        <v>46214</v>
      </c>
      <c r="B397" t="s">
        <v>46</v>
      </c>
      <c r="C397" t="s">
        <v>336</v>
      </c>
      <c r="D397" s="3">
        <v>25110</v>
      </c>
      <c r="E397" s="2">
        <v>46214</v>
      </c>
      <c r="F397">
        <f t="shared" ca="1" si="12"/>
        <v>21</v>
      </c>
      <c r="G397" s="3">
        <f t="shared" si="13"/>
        <v>145391</v>
      </c>
    </row>
    <row r="398" spans="1:7">
      <c r="A398" s="2">
        <v>46214</v>
      </c>
      <c r="B398" t="s">
        <v>47</v>
      </c>
      <c r="C398" t="s">
        <v>345</v>
      </c>
      <c r="D398" s="3">
        <v>13047</v>
      </c>
      <c r="E398" s="2">
        <v>46214</v>
      </c>
      <c r="F398">
        <f t="shared" ca="1" si="12"/>
        <v>21</v>
      </c>
      <c r="G398" s="3">
        <f t="shared" si="13"/>
        <v>67304</v>
      </c>
    </row>
    <row r="399" spans="1:7">
      <c r="A399" s="2">
        <v>46214</v>
      </c>
      <c r="B399" t="s">
        <v>57</v>
      </c>
      <c r="C399" t="s">
        <v>380</v>
      </c>
      <c r="D399" s="3">
        <v>178</v>
      </c>
      <c r="E399" s="2">
        <v>46214</v>
      </c>
      <c r="F399">
        <f t="shared" ca="1" si="12"/>
        <v>21</v>
      </c>
      <c r="G399" s="3">
        <f t="shared" si="13"/>
        <v>178</v>
      </c>
    </row>
    <row r="400" spans="1:7">
      <c r="A400" s="2">
        <v>46214</v>
      </c>
      <c r="B400" t="s">
        <v>76</v>
      </c>
      <c r="C400" t="s">
        <v>431</v>
      </c>
      <c r="D400" s="3">
        <v>13547</v>
      </c>
      <c r="E400" s="2">
        <v>46214</v>
      </c>
      <c r="F400">
        <f t="shared" ca="1" si="12"/>
        <v>21</v>
      </c>
      <c r="G400" s="3">
        <f t="shared" si="13"/>
        <v>182236</v>
      </c>
    </row>
    <row r="401" spans="1:7">
      <c r="A401" s="2">
        <v>46214</v>
      </c>
      <c r="B401" t="s">
        <v>87</v>
      </c>
      <c r="C401" t="s">
        <v>457</v>
      </c>
      <c r="D401" s="3">
        <v>26519</v>
      </c>
      <c r="E401" s="2">
        <v>46214</v>
      </c>
      <c r="F401">
        <f t="shared" ca="1" si="12"/>
        <v>21</v>
      </c>
      <c r="G401" s="3">
        <f t="shared" si="13"/>
        <v>107502</v>
      </c>
    </row>
    <row r="402" spans="1:7">
      <c r="A402" s="2">
        <v>46214</v>
      </c>
      <c r="B402" t="s">
        <v>95</v>
      </c>
      <c r="C402" t="s">
        <v>486</v>
      </c>
      <c r="D402" s="3">
        <v>7195</v>
      </c>
      <c r="E402" s="2">
        <v>46214</v>
      </c>
      <c r="F402">
        <f t="shared" ca="1" si="12"/>
        <v>21</v>
      </c>
      <c r="G402" s="3">
        <f t="shared" si="13"/>
        <v>77473</v>
      </c>
    </row>
    <row r="403" spans="1:7">
      <c r="A403" s="2">
        <v>46214</v>
      </c>
      <c r="B403" t="s">
        <v>128</v>
      </c>
      <c r="C403" t="s">
        <v>635</v>
      </c>
      <c r="D403" s="3">
        <v>450</v>
      </c>
      <c r="E403" s="2">
        <v>46214</v>
      </c>
      <c r="F403">
        <f t="shared" ca="1" si="12"/>
        <v>21</v>
      </c>
      <c r="G403" s="3">
        <f t="shared" si="13"/>
        <v>29138</v>
      </c>
    </row>
    <row r="404" spans="1:7">
      <c r="A404" s="2">
        <v>46214</v>
      </c>
      <c r="B404" t="s">
        <v>132</v>
      </c>
      <c r="C404" t="s">
        <v>679</v>
      </c>
      <c r="D404" s="3">
        <v>7750</v>
      </c>
      <c r="E404" s="2">
        <v>46214</v>
      </c>
      <c r="F404">
        <f t="shared" ca="1" si="12"/>
        <v>21</v>
      </c>
      <c r="G404" s="3">
        <f t="shared" si="13"/>
        <v>19560</v>
      </c>
    </row>
    <row r="405" spans="1:7">
      <c r="A405" s="2">
        <v>46214</v>
      </c>
      <c r="B405" t="s">
        <v>134</v>
      </c>
      <c r="C405" t="s">
        <v>686</v>
      </c>
      <c r="D405" s="3">
        <v>12107</v>
      </c>
      <c r="E405" s="2">
        <v>46214</v>
      </c>
      <c r="F405">
        <f t="shared" ca="1" si="12"/>
        <v>21</v>
      </c>
      <c r="G405" s="3">
        <f t="shared" si="13"/>
        <v>70377</v>
      </c>
    </row>
    <row r="406" spans="1:7">
      <c r="A406" s="2">
        <v>46216</v>
      </c>
      <c r="B406" t="s">
        <v>10</v>
      </c>
      <c r="C406" t="s">
        <v>152</v>
      </c>
      <c r="D406" s="3">
        <v>338</v>
      </c>
      <c r="E406" s="2">
        <v>46216</v>
      </c>
      <c r="F406">
        <f t="shared" ca="1" si="12"/>
        <v>19</v>
      </c>
      <c r="G406" s="3">
        <f t="shared" si="13"/>
        <v>338</v>
      </c>
    </row>
    <row r="407" spans="1:7">
      <c r="A407" s="2">
        <v>46216</v>
      </c>
      <c r="B407" t="s">
        <v>30</v>
      </c>
      <c r="C407" t="s">
        <v>277</v>
      </c>
      <c r="D407" s="3">
        <v>8400</v>
      </c>
      <c r="E407" s="2">
        <v>46216</v>
      </c>
      <c r="F407">
        <f t="shared" ca="1" si="12"/>
        <v>19</v>
      </c>
      <c r="G407" s="3">
        <f t="shared" si="13"/>
        <v>238111</v>
      </c>
    </row>
    <row r="408" spans="1:7">
      <c r="A408" s="2">
        <v>46216</v>
      </c>
      <c r="B408" t="s">
        <v>33</v>
      </c>
      <c r="C408" t="s">
        <v>287</v>
      </c>
      <c r="D408" s="3">
        <v>2176</v>
      </c>
      <c r="E408" s="2">
        <v>46216</v>
      </c>
      <c r="F408">
        <f t="shared" ca="1" si="12"/>
        <v>19</v>
      </c>
      <c r="G408" s="3">
        <f t="shared" si="13"/>
        <v>7349</v>
      </c>
    </row>
    <row r="409" spans="1:7">
      <c r="A409" s="2">
        <v>46216</v>
      </c>
      <c r="B409" t="s">
        <v>40</v>
      </c>
      <c r="C409" t="s">
        <v>319</v>
      </c>
      <c r="D409" s="3">
        <v>6000</v>
      </c>
      <c r="E409" s="2">
        <v>46216</v>
      </c>
      <c r="F409">
        <f t="shared" ca="1" si="12"/>
        <v>19</v>
      </c>
      <c r="G409" s="3">
        <f t="shared" si="13"/>
        <v>115200</v>
      </c>
    </row>
    <row r="410" spans="1:7">
      <c r="A410" s="2">
        <v>46216</v>
      </c>
      <c r="B410" t="s">
        <v>52</v>
      </c>
      <c r="C410" t="s">
        <v>363</v>
      </c>
      <c r="D410" s="3">
        <v>6344</v>
      </c>
      <c r="E410" s="2">
        <v>46216</v>
      </c>
      <c r="F410">
        <f t="shared" ca="1" si="12"/>
        <v>19</v>
      </c>
      <c r="G410" s="3">
        <f t="shared" si="13"/>
        <v>22266</v>
      </c>
    </row>
    <row r="411" spans="1:7">
      <c r="A411" s="2">
        <v>46216</v>
      </c>
      <c r="B411" t="s">
        <v>115</v>
      </c>
      <c r="C411" t="s">
        <v>560</v>
      </c>
      <c r="D411" s="3">
        <v>339</v>
      </c>
      <c r="E411" s="2">
        <v>46216</v>
      </c>
      <c r="F411">
        <f t="shared" ca="1" si="12"/>
        <v>19</v>
      </c>
      <c r="G411" s="3">
        <f t="shared" si="13"/>
        <v>594</v>
      </c>
    </row>
    <row r="412" spans="1:7">
      <c r="A412" s="2">
        <v>46216</v>
      </c>
      <c r="B412" t="s">
        <v>118</v>
      </c>
      <c r="C412" t="s">
        <v>586</v>
      </c>
      <c r="D412" s="3">
        <v>8700</v>
      </c>
      <c r="E412" s="2">
        <v>46216</v>
      </c>
      <c r="F412">
        <f t="shared" ca="1" si="12"/>
        <v>19</v>
      </c>
      <c r="G412" s="3">
        <f t="shared" si="13"/>
        <v>158534</v>
      </c>
    </row>
    <row r="413" spans="1:7">
      <c r="A413" s="2">
        <v>46217</v>
      </c>
      <c r="B413" t="s">
        <v>31</v>
      </c>
      <c r="C413" t="s">
        <v>281</v>
      </c>
      <c r="D413" s="3">
        <v>899</v>
      </c>
      <c r="E413" s="2">
        <v>46217</v>
      </c>
      <c r="F413">
        <f t="shared" ca="1" si="12"/>
        <v>18</v>
      </c>
      <c r="G413" s="3">
        <f t="shared" si="13"/>
        <v>899</v>
      </c>
    </row>
    <row r="414" spans="1:7">
      <c r="A414" s="2">
        <v>46217</v>
      </c>
      <c r="B414" t="s">
        <v>35</v>
      </c>
      <c r="C414" t="s">
        <v>291</v>
      </c>
      <c r="D414" s="3">
        <v>8174</v>
      </c>
      <c r="E414" s="2">
        <v>46217</v>
      </c>
      <c r="F414">
        <f t="shared" ca="1" si="12"/>
        <v>18</v>
      </c>
      <c r="G414" s="3">
        <f t="shared" si="13"/>
        <v>8298</v>
      </c>
    </row>
    <row r="415" spans="1:7">
      <c r="A415" s="2">
        <v>46217</v>
      </c>
      <c r="B415" t="s">
        <v>40</v>
      </c>
      <c r="C415" t="s">
        <v>320</v>
      </c>
      <c r="D415" s="3">
        <v>6000</v>
      </c>
      <c r="E415" s="2">
        <v>46217</v>
      </c>
      <c r="F415">
        <f t="shared" ca="1" si="12"/>
        <v>18</v>
      </c>
      <c r="G415" s="3">
        <f t="shared" si="13"/>
        <v>115200</v>
      </c>
    </row>
    <row r="416" spans="1:7">
      <c r="A416" s="2">
        <v>46217</v>
      </c>
      <c r="B416" t="s">
        <v>97</v>
      </c>
      <c r="C416" t="s">
        <v>498</v>
      </c>
      <c r="D416" s="3">
        <v>221</v>
      </c>
      <c r="E416" s="2">
        <v>46217</v>
      </c>
      <c r="F416">
        <f t="shared" ca="1" si="12"/>
        <v>18</v>
      </c>
      <c r="G416" s="3">
        <f t="shared" si="13"/>
        <v>22276</v>
      </c>
    </row>
    <row r="417" spans="1:7">
      <c r="A417" s="2">
        <v>46217</v>
      </c>
      <c r="B417" t="s">
        <v>126</v>
      </c>
      <c r="C417" t="s">
        <v>628</v>
      </c>
      <c r="D417" s="3">
        <v>3776</v>
      </c>
      <c r="E417" s="2">
        <v>46217</v>
      </c>
      <c r="F417">
        <f t="shared" ca="1" si="12"/>
        <v>18</v>
      </c>
      <c r="G417" s="3">
        <f t="shared" si="13"/>
        <v>19046</v>
      </c>
    </row>
    <row r="418" spans="1:7">
      <c r="A418" s="2">
        <v>46217</v>
      </c>
      <c r="B418" t="s">
        <v>134</v>
      </c>
      <c r="C418" t="s">
        <v>687</v>
      </c>
      <c r="D418" s="3">
        <v>16000</v>
      </c>
      <c r="E418" s="2">
        <v>46217</v>
      </c>
      <c r="F418">
        <f t="shared" ca="1" si="12"/>
        <v>18</v>
      </c>
      <c r="G418" s="3">
        <f t="shared" si="13"/>
        <v>70377</v>
      </c>
    </row>
    <row r="419" spans="1:7">
      <c r="A419" s="2">
        <v>46217</v>
      </c>
      <c r="B419" t="s">
        <v>134</v>
      </c>
      <c r="C419" t="s">
        <v>688</v>
      </c>
      <c r="D419" s="3">
        <v>4071</v>
      </c>
      <c r="E419" s="2">
        <v>46217</v>
      </c>
      <c r="F419">
        <f t="shared" ca="1" si="12"/>
        <v>18</v>
      </c>
      <c r="G419" s="3">
        <f t="shared" si="13"/>
        <v>70377</v>
      </c>
    </row>
    <row r="420" spans="1:7">
      <c r="A420" s="2">
        <v>46217</v>
      </c>
      <c r="B420" t="s">
        <v>135</v>
      </c>
      <c r="C420" t="s">
        <v>699</v>
      </c>
      <c r="D420" s="3">
        <v>2709</v>
      </c>
      <c r="E420" s="2">
        <v>46217</v>
      </c>
      <c r="F420">
        <f t="shared" ca="1" si="12"/>
        <v>18</v>
      </c>
      <c r="G420" s="3">
        <f t="shared" si="13"/>
        <v>44439</v>
      </c>
    </row>
    <row r="421" spans="1:7">
      <c r="A421" s="2">
        <v>46217</v>
      </c>
      <c r="B421" t="s">
        <v>137</v>
      </c>
      <c r="C421" t="s">
        <v>703</v>
      </c>
      <c r="D421" s="3">
        <v>13230</v>
      </c>
      <c r="E421" s="2">
        <v>46217</v>
      </c>
      <c r="F421">
        <f t="shared" ca="1" si="12"/>
        <v>18</v>
      </c>
      <c r="G421" s="3">
        <f t="shared" si="13"/>
        <v>13872</v>
      </c>
    </row>
    <row r="422" spans="1:7">
      <c r="A422" s="2">
        <v>46218</v>
      </c>
      <c r="B422" t="s">
        <v>13</v>
      </c>
      <c r="C422" t="s">
        <v>159</v>
      </c>
      <c r="D422" s="3">
        <v>1770</v>
      </c>
      <c r="E422" s="2">
        <v>46218</v>
      </c>
      <c r="F422">
        <f t="shared" ca="1" si="12"/>
        <v>17</v>
      </c>
      <c r="G422" s="3">
        <f t="shared" si="13"/>
        <v>1770</v>
      </c>
    </row>
    <row r="423" spans="1:7">
      <c r="A423" s="2">
        <v>46218</v>
      </c>
      <c r="B423" t="s">
        <v>21</v>
      </c>
      <c r="C423" t="s">
        <v>193</v>
      </c>
      <c r="D423" s="3">
        <v>23914</v>
      </c>
      <c r="E423" s="2">
        <v>46218</v>
      </c>
      <c r="F423">
        <f t="shared" ca="1" si="12"/>
        <v>17</v>
      </c>
      <c r="G423" s="3">
        <f t="shared" si="13"/>
        <v>52708</v>
      </c>
    </row>
    <row r="424" spans="1:7">
      <c r="A424" s="2">
        <v>46218</v>
      </c>
      <c r="B424" t="s">
        <v>21</v>
      </c>
      <c r="C424" t="s">
        <v>194</v>
      </c>
      <c r="D424" s="3">
        <v>7309</v>
      </c>
      <c r="E424" s="2">
        <v>46218</v>
      </c>
      <c r="F424">
        <f t="shared" ca="1" si="12"/>
        <v>17</v>
      </c>
      <c r="G424" s="3">
        <f t="shared" si="13"/>
        <v>52708</v>
      </c>
    </row>
    <row r="425" spans="1:7">
      <c r="A425" s="2">
        <v>46218</v>
      </c>
      <c r="B425" t="s">
        <v>33</v>
      </c>
      <c r="C425" t="s">
        <v>288</v>
      </c>
      <c r="D425" s="3">
        <v>1704</v>
      </c>
      <c r="E425" s="2">
        <v>46218</v>
      </c>
      <c r="F425">
        <f t="shared" ca="1" si="12"/>
        <v>17</v>
      </c>
      <c r="G425" s="3">
        <f t="shared" si="13"/>
        <v>7349</v>
      </c>
    </row>
    <row r="426" spans="1:7">
      <c r="A426" s="2">
        <v>46218</v>
      </c>
      <c r="B426" t="s">
        <v>59</v>
      </c>
      <c r="C426" t="s">
        <v>388</v>
      </c>
      <c r="D426" s="3">
        <v>44368</v>
      </c>
      <c r="E426" s="2">
        <v>46218</v>
      </c>
      <c r="F426">
        <f t="shared" ca="1" si="12"/>
        <v>17</v>
      </c>
      <c r="G426" s="3">
        <f t="shared" si="13"/>
        <v>180026</v>
      </c>
    </row>
    <row r="427" spans="1:7">
      <c r="A427" s="2">
        <v>46218</v>
      </c>
      <c r="B427" t="s">
        <v>72</v>
      </c>
      <c r="C427" t="s">
        <v>423</v>
      </c>
      <c r="D427" s="3">
        <v>5963</v>
      </c>
      <c r="E427" s="2">
        <v>46218</v>
      </c>
      <c r="F427">
        <f t="shared" ca="1" si="12"/>
        <v>17</v>
      </c>
      <c r="G427" s="3">
        <f t="shared" si="13"/>
        <v>112332</v>
      </c>
    </row>
    <row r="428" spans="1:7">
      <c r="A428" s="2">
        <v>46218</v>
      </c>
      <c r="B428" t="s">
        <v>76</v>
      </c>
      <c r="C428" t="s">
        <v>432</v>
      </c>
      <c r="D428" s="3">
        <v>41000</v>
      </c>
      <c r="E428" s="2">
        <v>46218</v>
      </c>
      <c r="F428">
        <f t="shared" ca="1" si="12"/>
        <v>17</v>
      </c>
      <c r="G428" s="3">
        <f t="shared" si="13"/>
        <v>182236</v>
      </c>
    </row>
    <row r="429" spans="1:7">
      <c r="A429" s="2">
        <v>46218</v>
      </c>
      <c r="B429" t="s">
        <v>101</v>
      </c>
      <c r="C429" t="s">
        <v>517</v>
      </c>
      <c r="D429" s="3">
        <v>4740</v>
      </c>
      <c r="E429" s="2">
        <v>46218</v>
      </c>
      <c r="F429">
        <f t="shared" ca="1" si="12"/>
        <v>17</v>
      </c>
      <c r="G429" s="3">
        <f t="shared" si="13"/>
        <v>11900</v>
      </c>
    </row>
    <row r="430" spans="1:7">
      <c r="A430" s="2">
        <v>46218</v>
      </c>
      <c r="B430" t="s">
        <v>120</v>
      </c>
      <c r="C430" t="s">
        <v>611</v>
      </c>
      <c r="D430" s="3">
        <v>2090</v>
      </c>
      <c r="E430" s="2">
        <v>46218</v>
      </c>
      <c r="F430">
        <f t="shared" ca="1" si="12"/>
        <v>17</v>
      </c>
      <c r="G430" s="3">
        <f t="shared" si="13"/>
        <v>109542</v>
      </c>
    </row>
    <row r="431" spans="1:7">
      <c r="A431" s="2">
        <v>46219</v>
      </c>
      <c r="B431" t="s">
        <v>38</v>
      </c>
      <c r="C431" t="s">
        <v>296</v>
      </c>
      <c r="D431" s="3">
        <v>55394</v>
      </c>
      <c r="E431" s="2">
        <v>46219</v>
      </c>
      <c r="F431">
        <f t="shared" ca="1" si="12"/>
        <v>16</v>
      </c>
      <c r="G431" s="3">
        <f t="shared" si="13"/>
        <v>55394</v>
      </c>
    </row>
    <row r="432" spans="1:7">
      <c r="A432" s="2">
        <v>46219</v>
      </c>
      <c r="B432" t="s">
        <v>39</v>
      </c>
      <c r="C432" t="s">
        <v>310</v>
      </c>
      <c r="D432" s="3">
        <v>2410</v>
      </c>
      <c r="E432" s="2">
        <v>46219</v>
      </c>
      <c r="F432">
        <f t="shared" ca="1" si="12"/>
        <v>16</v>
      </c>
      <c r="G432" s="3">
        <f t="shared" si="13"/>
        <v>53111</v>
      </c>
    </row>
    <row r="433" spans="1:7">
      <c r="A433" s="2">
        <v>46219</v>
      </c>
      <c r="B433" t="s">
        <v>58</v>
      </c>
      <c r="C433" t="s">
        <v>381</v>
      </c>
      <c r="D433" s="3">
        <v>23364</v>
      </c>
      <c r="E433" s="2">
        <v>46219</v>
      </c>
      <c r="F433">
        <f t="shared" ca="1" si="12"/>
        <v>16</v>
      </c>
      <c r="G433" s="3">
        <f t="shared" si="13"/>
        <v>28320</v>
      </c>
    </row>
    <row r="434" spans="1:7">
      <c r="A434" s="2">
        <v>46219</v>
      </c>
      <c r="B434" t="s">
        <v>65</v>
      </c>
      <c r="C434" t="s">
        <v>407</v>
      </c>
      <c r="D434" s="3">
        <v>1757</v>
      </c>
      <c r="E434" s="2">
        <v>46219</v>
      </c>
      <c r="F434">
        <f t="shared" ca="1" si="12"/>
        <v>16</v>
      </c>
      <c r="G434" s="3">
        <f t="shared" si="13"/>
        <v>8114</v>
      </c>
    </row>
    <row r="435" spans="1:7">
      <c r="A435" s="2">
        <v>46219</v>
      </c>
      <c r="B435" t="s">
        <v>101</v>
      </c>
      <c r="C435" t="s">
        <v>518</v>
      </c>
      <c r="D435" s="3">
        <v>1074</v>
      </c>
      <c r="E435" s="2">
        <v>46219</v>
      </c>
      <c r="F435">
        <f t="shared" ca="1" si="12"/>
        <v>16</v>
      </c>
      <c r="G435" s="3">
        <f t="shared" si="13"/>
        <v>11900</v>
      </c>
    </row>
    <row r="436" spans="1:7">
      <c r="A436" s="2">
        <v>46219</v>
      </c>
      <c r="B436" t="s">
        <v>114</v>
      </c>
      <c r="C436" t="s">
        <v>555</v>
      </c>
      <c r="D436" s="3">
        <v>5573</v>
      </c>
      <c r="E436" s="2">
        <v>46219</v>
      </c>
      <c r="F436">
        <f t="shared" ca="1" si="12"/>
        <v>16</v>
      </c>
      <c r="G436" s="3">
        <f t="shared" si="13"/>
        <v>14037</v>
      </c>
    </row>
    <row r="437" spans="1:7">
      <c r="A437" s="2">
        <v>46219</v>
      </c>
      <c r="B437" t="s">
        <v>118</v>
      </c>
      <c r="C437" t="s">
        <v>587</v>
      </c>
      <c r="D437" s="3">
        <v>29000</v>
      </c>
      <c r="E437" s="2">
        <v>46219</v>
      </c>
      <c r="F437">
        <f t="shared" ca="1" si="12"/>
        <v>16</v>
      </c>
      <c r="G437" s="3">
        <f t="shared" si="13"/>
        <v>158534</v>
      </c>
    </row>
    <row r="438" spans="1:7">
      <c r="A438" s="2">
        <v>46220</v>
      </c>
      <c r="B438" t="s">
        <v>39</v>
      </c>
      <c r="C438" t="s">
        <v>311</v>
      </c>
      <c r="D438" s="3">
        <v>882</v>
      </c>
      <c r="E438" s="2">
        <v>46220</v>
      </c>
      <c r="F438">
        <f t="shared" ca="1" si="12"/>
        <v>15</v>
      </c>
      <c r="G438" s="3">
        <f t="shared" si="13"/>
        <v>53111</v>
      </c>
    </row>
    <row r="439" spans="1:7">
      <c r="A439" s="2">
        <v>46220</v>
      </c>
      <c r="B439" t="s">
        <v>80</v>
      </c>
      <c r="C439" t="s">
        <v>445</v>
      </c>
      <c r="D439" s="3">
        <v>1760</v>
      </c>
      <c r="E439" s="2">
        <v>46220</v>
      </c>
      <c r="F439">
        <f t="shared" ca="1" si="12"/>
        <v>15</v>
      </c>
      <c r="G439" s="3">
        <f t="shared" si="13"/>
        <v>1760</v>
      </c>
    </row>
    <row r="440" spans="1:7">
      <c r="A440" s="2">
        <v>46220</v>
      </c>
      <c r="B440" t="s">
        <v>90</v>
      </c>
      <c r="C440" t="s">
        <v>461</v>
      </c>
      <c r="D440" s="3">
        <v>2250</v>
      </c>
      <c r="E440" s="2">
        <v>46220</v>
      </c>
      <c r="F440">
        <f t="shared" ca="1" si="12"/>
        <v>15</v>
      </c>
      <c r="G440" s="3">
        <f t="shared" si="13"/>
        <v>2250</v>
      </c>
    </row>
    <row r="441" spans="1:7">
      <c r="A441" s="2">
        <v>46220</v>
      </c>
      <c r="B441" t="s">
        <v>91</v>
      </c>
      <c r="C441" t="s">
        <v>462</v>
      </c>
      <c r="D441" s="3">
        <v>2545</v>
      </c>
      <c r="E441" s="2">
        <v>46220</v>
      </c>
      <c r="F441">
        <f t="shared" ca="1" si="12"/>
        <v>15</v>
      </c>
      <c r="G441" s="3">
        <f t="shared" si="13"/>
        <v>2545</v>
      </c>
    </row>
    <row r="442" spans="1:7">
      <c r="A442" s="2">
        <v>46220</v>
      </c>
      <c r="B442" t="s">
        <v>101</v>
      </c>
      <c r="C442" t="s">
        <v>519</v>
      </c>
      <c r="D442" s="3">
        <v>4326</v>
      </c>
      <c r="E442" s="2">
        <v>46220</v>
      </c>
      <c r="F442">
        <f t="shared" ca="1" si="12"/>
        <v>15</v>
      </c>
      <c r="G442" s="3">
        <f t="shared" si="13"/>
        <v>11900</v>
      </c>
    </row>
    <row r="443" spans="1:7">
      <c r="A443" s="2">
        <v>46221</v>
      </c>
      <c r="B443" t="s">
        <v>12</v>
      </c>
      <c r="C443" t="s">
        <v>155</v>
      </c>
      <c r="D443" s="3">
        <v>650</v>
      </c>
      <c r="E443" s="2">
        <v>46221</v>
      </c>
      <c r="F443">
        <f t="shared" ca="1" si="12"/>
        <v>14</v>
      </c>
      <c r="G443" s="3">
        <f t="shared" si="13"/>
        <v>26244</v>
      </c>
    </row>
    <row r="444" spans="1:7">
      <c r="A444" s="2">
        <v>46221</v>
      </c>
      <c r="B444" t="s">
        <v>15</v>
      </c>
      <c r="C444" t="s">
        <v>169</v>
      </c>
      <c r="D444" s="3">
        <v>795</v>
      </c>
      <c r="E444" s="2">
        <v>46221</v>
      </c>
      <c r="F444">
        <f t="shared" ca="1" si="12"/>
        <v>14</v>
      </c>
      <c r="G444" s="3">
        <f t="shared" si="13"/>
        <v>119404</v>
      </c>
    </row>
    <row r="445" spans="1:7">
      <c r="A445" s="2">
        <v>46221</v>
      </c>
      <c r="B445" t="s">
        <v>17</v>
      </c>
      <c r="C445" t="s">
        <v>176</v>
      </c>
      <c r="D445" s="3">
        <v>2788</v>
      </c>
      <c r="E445" s="2">
        <v>46221</v>
      </c>
      <c r="F445">
        <f t="shared" ca="1" si="12"/>
        <v>14</v>
      </c>
      <c r="G445" s="3">
        <f t="shared" si="13"/>
        <v>17788</v>
      </c>
    </row>
    <row r="446" spans="1:7">
      <c r="A446" s="2">
        <v>46221</v>
      </c>
      <c r="B446" t="s">
        <v>25</v>
      </c>
      <c r="C446" t="s">
        <v>223</v>
      </c>
      <c r="D446" s="3">
        <v>11095</v>
      </c>
      <c r="E446" s="2">
        <v>46221</v>
      </c>
      <c r="F446">
        <f t="shared" ca="1" si="12"/>
        <v>14</v>
      </c>
      <c r="G446" s="3">
        <f t="shared" si="13"/>
        <v>92608</v>
      </c>
    </row>
    <row r="447" spans="1:7">
      <c r="A447" s="2">
        <v>46221</v>
      </c>
      <c r="B447" t="s">
        <v>27</v>
      </c>
      <c r="C447" t="s">
        <v>245</v>
      </c>
      <c r="D447" s="3">
        <v>1910</v>
      </c>
      <c r="E447" s="2">
        <v>46221</v>
      </c>
      <c r="F447">
        <f t="shared" ca="1" si="12"/>
        <v>14</v>
      </c>
      <c r="G447" s="3">
        <f t="shared" si="13"/>
        <v>66140</v>
      </c>
    </row>
    <row r="448" spans="1:7">
      <c r="A448" s="2">
        <v>46221</v>
      </c>
      <c r="B448" t="s">
        <v>29</v>
      </c>
      <c r="C448" t="s">
        <v>253</v>
      </c>
      <c r="D448" s="3">
        <v>668</v>
      </c>
      <c r="E448" s="2">
        <v>46221</v>
      </c>
      <c r="F448">
        <f t="shared" ca="1" si="12"/>
        <v>14</v>
      </c>
      <c r="G448" s="3">
        <f t="shared" si="13"/>
        <v>6000</v>
      </c>
    </row>
    <row r="449" spans="1:7">
      <c r="A449" s="2">
        <v>46221</v>
      </c>
      <c r="B449" t="s">
        <v>30</v>
      </c>
      <c r="C449" t="s">
        <v>278</v>
      </c>
      <c r="D449" s="3">
        <v>1804</v>
      </c>
      <c r="E449" s="2">
        <v>46221</v>
      </c>
      <c r="F449">
        <f t="shared" ca="1" si="12"/>
        <v>14</v>
      </c>
      <c r="G449" s="3">
        <f t="shared" si="13"/>
        <v>238111</v>
      </c>
    </row>
    <row r="450" spans="1:7">
      <c r="A450" s="2">
        <v>46221</v>
      </c>
      <c r="B450" t="s">
        <v>44</v>
      </c>
      <c r="C450" t="s">
        <v>330</v>
      </c>
      <c r="D450" s="3">
        <v>500</v>
      </c>
      <c r="E450" s="2">
        <v>46221</v>
      </c>
      <c r="F450">
        <f t="shared" ca="1" si="12"/>
        <v>14</v>
      </c>
      <c r="G450" s="3">
        <f t="shared" si="13"/>
        <v>30500</v>
      </c>
    </row>
    <row r="451" spans="1:7">
      <c r="A451" s="2">
        <v>46221</v>
      </c>
      <c r="B451" t="s">
        <v>45</v>
      </c>
      <c r="C451" t="s">
        <v>332</v>
      </c>
      <c r="D451" s="3">
        <v>360</v>
      </c>
      <c r="E451" s="2">
        <v>46221</v>
      </c>
      <c r="F451">
        <f t="shared" ca="1" si="12"/>
        <v>14</v>
      </c>
      <c r="G451" s="3">
        <f t="shared" si="13"/>
        <v>360</v>
      </c>
    </row>
    <row r="452" spans="1:7">
      <c r="A452" s="2">
        <v>46221</v>
      </c>
      <c r="B452" t="s">
        <v>46</v>
      </c>
      <c r="C452" t="s">
        <v>337</v>
      </c>
      <c r="D452" s="3">
        <v>13120</v>
      </c>
      <c r="E452" s="2">
        <v>46221</v>
      </c>
      <c r="F452">
        <f t="shared" ca="1" si="12"/>
        <v>14</v>
      </c>
      <c r="G452" s="3">
        <f t="shared" si="13"/>
        <v>145391</v>
      </c>
    </row>
    <row r="453" spans="1:7">
      <c r="A453" s="2">
        <v>46221</v>
      </c>
      <c r="B453" t="s">
        <v>47</v>
      </c>
      <c r="C453" t="s">
        <v>346</v>
      </c>
      <c r="D453" s="3">
        <v>1800</v>
      </c>
      <c r="E453" s="2">
        <v>46221</v>
      </c>
      <c r="F453">
        <f t="shared" ref="F453:F516" ca="1" si="14">TODAY()-E453</f>
        <v>14</v>
      </c>
      <c r="G453" s="3">
        <f t="shared" ref="G453:G516" si="15">SUMIF($B$5:$B$563,B453,$D$5:$D$563)</f>
        <v>67304</v>
      </c>
    </row>
    <row r="454" spans="1:7">
      <c r="A454" s="2">
        <v>46221</v>
      </c>
      <c r="B454" t="s">
        <v>59</v>
      </c>
      <c r="C454" t="s">
        <v>389</v>
      </c>
      <c r="D454" s="3">
        <v>8614</v>
      </c>
      <c r="E454" s="2">
        <v>46221</v>
      </c>
      <c r="F454">
        <f t="shared" ca="1" si="14"/>
        <v>14</v>
      </c>
      <c r="G454" s="3">
        <f t="shared" si="15"/>
        <v>180026</v>
      </c>
    </row>
    <row r="455" spans="1:7">
      <c r="A455" s="2">
        <v>46221</v>
      </c>
      <c r="B455" t="s">
        <v>93</v>
      </c>
      <c r="C455" t="s">
        <v>478</v>
      </c>
      <c r="D455" s="3">
        <v>3300</v>
      </c>
      <c r="E455" s="2">
        <v>46221</v>
      </c>
      <c r="F455">
        <f t="shared" ca="1" si="14"/>
        <v>14</v>
      </c>
      <c r="G455" s="3">
        <f t="shared" si="15"/>
        <v>3300</v>
      </c>
    </row>
    <row r="456" spans="1:7">
      <c r="A456" s="2">
        <v>46221</v>
      </c>
      <c r="B456" t="s">
        <v>95</v>
      </c>
      <c r="C456" t="s">
        <v>487</v>
      </c>
      <c r="D456" s="3">
        <v>6160</v>
      </c>
      <c r="E456" s="2">
        <v>46221</v>
      </c>
      <c r="F456">
        <f t="shared" ca="1" si="14"/>
        <v>14</v>
      </c>
      <c r="G456" s="3">
        <f t="shared" si="15"/>
        <v>77473</v>
      </c>
    </row>
    <row r="457" spans="1:7">
      <c r="A457" s="2">
        <v>46221</v>
      </c>
      <c r="B457" t="s">
        <v>114</v>
      </c>
      <c r="C457" t="s">
        <v>556</v>
      </c>
      <c r="D457" s="3">
        <v>1500</v>
      </c>
      <c r="E457" s="2">
        <v>46221</v>
      </c>
      <c r="F457">
        <f t="shared" ca="1" si="14"/>
        <v>14</v>
      </c>
      <c r="G457" s="3">
        <f t="shared" si="15"/>
        <v>14037</v>
      </c>
    </row>
    <row r="458" spans="1:7">
      <c r="A458" s="2">
        <v>46223</v>
      </c>
      <c r="B458" t="s">
        <v>19</v>
      </c>
      <c r="C458" t="s">
        <v>181</v>
      </c>
      <c r="D458" s="3">
        <v>5100</v>
      </c>
      <c r="E458" s="2">
        <v>46223</v>
      </c>
      <c r="F458">
        <f t="shared" ca="1" si="14"/>
        <v>12</v>
      </c>
      <c r="G458" s="3">
        <f t="shared" si="15"/>
        <v>51533</v>
      </c>
    </row>
    <row r="459" spans="1:7">
      <c r="A459" s="2">
        <v>46223</v>
      </c>
      <c r="B459" t="s">
        <v>20</v>
      </c>
      <c r="C459" t="s">
        <v>190</v>
      </c>
      <c r="D459" s="3">
        <v>780</v>
      </c>
      <c r="E459" s="2">
        <v>46223</v>
      </c>
      <c r="F459">
        <f t="shared" ca="1" si="14"/>
        <v>12</v>
      </c>
      <c r="G459" s="3">
        <f t="shared" si="15"/>
        <v>10155</v>
      </c>
    </row>
    <row r="460" spans="1:7">
      <c r="A460" s="2">
        <v>46223</v>
      </c>
      <c r="B460" t="s">
        <v>21</v>
      </c>
      <c r="C460" t="s">
        <v>195</v>
      </c>
      <c r="D460" s="3">
        <v>2236</v>
      </c>
      <c r="E460" s="2">
        <v>46223</v>
      </c>
      <c r="F460">
        <f t="shared" ca="1" si="14"/>
        <v>12</v>
      </c>
      <c r="G460" s="3">
        <f t="shared" si="15"/>
        <v>52708</v>
      </c>
    </row>
    <row r="461" spans="1:7">
      <c r="A461" s="2">
        <v>46223</v>
      </c>
      <c r="B461" t="s">
        <v>22</v>
      </c>
      <c r="C461" t="s">
        <v>199</v>
      </c>
      <c r="D461" s="3">
        <v>354</v>
      </c>
      <c r="E461" s="2">
        <v>46223</v>
      </c>
      <c r="F461">
        <f t="shared" ca="1" si="14"/>
        <v>12</v>
      </c>
      <c r="G461" s="3">
        <f t="shared" si="15"/>
        <v>706</v>
      </c>
    </row>
    <row r="462" spans="1:7">
      <c r="A462" s="2">
        <v>46223</v>
      </c>
      <c r="B462" t="s">
        <v>58</v>
      </c>
      <c r="C462" t="s">
        <v>382</v>
      </c>
      <c r="D462" s="3">
        <v>4956</v>
      </c>
      <c r="E462" s="2">
        <v>46223</v>
      </c>
      <c r="F462">
        <f t="shared" ca="1" si="14"/>
        <v>12</v>
      </c>
      <c r="G462" s="3">
        <f t="shared" si="15"/>
        <v>28320</v>
      </c>
    </row>
    <row r="463" spans="1:7">
      <c r="A463" s="2">
        <v>46223</v>
      </c>
      <c r="B463" t="s">
        <v>120</v>
      </c>
      <c r="C463" t="s">
        <v>612</v>
      </c>
      <c r="D463" s="3">
        <v>4000</v>
      </c>
      <c r="E463" s="2">
        <v>46223</v>
      </c>
      <c r="F463">
        <f t="shared" ca="1" si="14"/>
        <v>12</v>
      </c>
      <c r="G463" s="3">
        <f t="shared" si="15"/>
        <v>109542</v>
      </c>
    </row>
    <row r="464" spans="1:7">
      <c r="A464" s="2">
        <v>46223</v>
      </c>
      <c r="B464" t="s">
        <v>124</v>
      </c>
      <c r="C464" t="s">
        <v>621</v>
      </c>
      <c r="D464" s="3">
        <v>4650</v>
      </c>
      <c r="E464" s="2">
        <v>46223</v>
      </c>
      <c r="F464">
        <f t="shared" ca="1" si="14"/>
        <v>12</v>
      </c>
      <c r="G464" s="3">
        <f t="shared" si="15"/>
        <v>4650</v>
      </c>
    </row>
    <row r="465" spans="1:7">
      <c r="A465" s="2">
        <v>46223</v>
      </c>
      <c r="B465" t="s">
        <v>129</v>
      </c>
      <c r="C465" t="s">
        <v>653</v>
      </c>
      <c r="D465" s="3">
        <v>4200</v>
      </c>
      <c r="E465" s="2">
        <v>46223</v>
      </c>
      <c r="F465">
        <f t="shared" ca="1" si="14"/>
        <v>12</v>
      </c>
      <c r="G465" s="3">
        <f t="shared" si="15"/>
        <v>68445</v>
      </c>
    </row>
    <row r="466" spans="1:7">
      <c r="A466" s="2">
        <v>46223</v>
      </c>
      <c r="B466" t="s">
        <v>134</v>
      </c>
      <c r="C466" t="s">
        <v>689</v>
      </c>
      <c r="D466" s="3">
        <v>1626</v>
      </c>
      <c r="E466" s="2">
        <v>46223</v>
      </c>
      <c r="F466">
        <f t="shared" ca="1" si="14"/>
        <v>12</v>
      </c>
      <c r="G466" s="3">
        <f t="shared" si="15"/>
        <v>70377</v>
      </c>
    </row>
    <row r="467" spans="1:7">
      <c r="A467" s="2">
        <v>46224</v>
      </c>
      <c r="B467" t="s">
        <v>19</v>
      </c>
      <c r="C467" t="s">
        <v>182</v>
      </c>
      <c r="D467" s="3">
        <v>8496</v>
      </c>
      <c r="E467" s="2">
        <v>46224</v>
      </c>
      <c r="F467">
        <f t="shared" ca="1" si="14"/>
        <v>11</v>
      </c>
      <c r="G467" s="3">
        <f t="shared" si="15"/>
        <v>51533</v>
      </c>
    </row>
    <row r="468" spans="1:7">
      <c r="A468" s="2">
        <v>46224</v>
      </c>
      <c r="B468" t="s">
        <v>33</v>
      </c>
      <c r="C468" t="s">
        <v>289</v>
      </c>
      <c r="D468" s="3">
        <v>1125</v>
      </c>
      <c r="E468" s="2">
        <v>46224</v>
      </c>
      <c r="F468">
        <f t="shared" ca="1" si="14"/>
        <v>11</v>
      </c>
      <c r="G468" s="3">
        <f t="shared" si="15"/>
        <v>7349</v>
      </c>
    </row>
    <row r="469" spans="1:7">
      <c r="A469" s="2">
        <v>46224</v>
      </c>
      <c r="B469" t="s">
        <v>39</v>
      </c>
      <c r="C469" t="s">
        <v>312</v>
      </c>
      <c r="D469" s="3">
        <v>4744</v>
      </c>
      <c r="E469" s="2">
        <v>46224</v>
      </c>
      <c r="F469">
        <f t="shared" ca="1" si="14"/>
        <v>11</v>
      </c>
      <c r="G469" s="3">
        <f t="shared" si="15"/>
        <v>53111</v>
      </c>
    </row>
    <row r="470" spans="1:7">
      <c r="A470" s="2">
        <v>46224</v>
      </c>
      <c r="B470" t="s">
        <v>52</v>
      </c>
      <c r="C470" t="s">
        <v>364</v>
      </c>
      <c r="D470" s="3">
        <v>14270</v>
      </c>
      <c r="E470" s="2">
        <v>46224</v>
      </c>
      <c r="F470">
        <f t="shared" ca="1" si="14"/>
        <v>11</v>
      </c>
      <c r="G470" s="3">
        <f t="shared" si="15"/>
        <v>22266</v>
      </c>
    </row>
    <row r="471" spans="1:7">
      <c r="A471" s="2">
        <v>46224</v>
      </c>
      <c r="B471" t="s">
        <v>72</v>
      </c>
      <c r="C471" t="s">
        <v>424</v>
      </c>
      <c r="D471" s="3">
        <v>2009</v>
      </c>
      <c r="E471" s="2">
        <v>46224</v>
      </c>
      <c r="F471">
        <f t="shared" ca="1" si="14"/>
        <v>11</v>
      </c>
      <c r="G471" s="3">
        <f t="shared" si="15"/>
        <v>112332</v>
      </c>
    </row>
    <row r="472" spans="1:7">
      <c r="A472" s="2">
        <v>46224</v>
      </c>
      <c r="B472" t="s">
        <v>97</v>
      </c>
      <c r="C472" t="s">
        <v>499</v>
      </c>
      <c r="D472" s="3">
        <v>3940</v>
      </c>
      <c r="E472" s="2">
        <v>46224</v>
      </c>
      <c r="F472">
        <f t="shared" ca="1" si="14"/>
        <v>11</v>
      </c>
      <c r="G472" s="3">
        <f t="shared" si="15"/>
        <v>22276</v>
      </c>
    </row>
    <row r="473" spans="1:7">
      <c r="A473" s="2">
        <v>46224</v>
      </c>
      <c r="B473" t="s">
        <v>129</v>
      </c>
      <c r="C473" t="s">
        <v>654</v>
      </c>
      <c r="D473" s="3">
        <v>2100</v>
      </c>
      <c r="E473" s="2">
        <v>46224</v>
      </c>
      <c r="F473">
        <f t="shared" ca="1" si="14"/>
        <v>11</v>
      </c>
      <c r="G473" s="3">
        <f t="shared" si="15"/>
        <v>68445</v>
      </c>
    </row>
    <row r="474" spans="1:7">
      <c r="A474" s="2">
        <v>46225</v>
      </c>
      <c r="B474" t="s">
        <v>18</v>
      </c>
      <c r="C474" t="s">
        <v>179</v>
      </c>
      <c r="D474" s="3">
        <v>3453</v>
      </c>
      <c r="E474" s="2">
        <v>46225</v>
      </c>
      <c r="F474">
        <f t="shared" ca="1" si="14"/>
        <v>10</v>
      </c>
      <c r="G474" s="3">
        <f t="shared" si="15"/>
        <v>12267</v>
      </c>
    </row>
    <row r="475" spans="1:7">
      <c r="A475" s="2">
        <v>46225</v>
      </c>
      <c r="B475" t="s">
        <v>21</v>
      </c>
      <c r="C475" t="s">
        <v>196</v>
      </c>
      <c r="D475" s="3">
        <v>4219</v>
      </c>
      <c r="E475" s="2">
        <v>46225</v>
      </c>
      <c r="F475">
        <f t="shared" ca="1" si="14"/>
        <v>10</v>
      </c>
      <c r="G475" s="3">
        <f t="shared" si="15"/>
        <v>52708</v>
      </c>
    </row>
    <row r="476" spans="1:7">
      <c r="A476" s="2">
        <v>46225</v>
      </c>
      <c r="B476" t="s">
        <v>59</v>
      </c>
      <c r="C476" t="s">
        <v>390</v>
      </c>
      <c r="D476" s="3">
        <v>945</v>
      </c>
      <c r="E476" s="2">
        <v>46225</v>
      </c>
      <c r="F476">
        <f t="shared" ca="1" si="14"/>
        <v>10</v>
      </c>
      <c r="G476" s="3">
        <f t="shared" si="15"/>
        <v>180026</v>
      </c>
    </row>
    <row r="477" spans="1:7">
      <c r="A477" s="2">
        <v>46225</v>
      </c>
      <c r="B477" t="s">
        <v>110</v>
      </c>
      <c r="C477" t="s">
        <v>544</v>
      </c>
      <c r="D477" s="3">
        <v>2290</v>
      </c>
      <c r="E477" s="2">
        <v>46225</v>
      </c>
      <c r="F477">
        <f t="shared" ca="1" si="14"/>
        <v>10</v>
      </c>
      <c r="G477" s="3">
        <f t="shared" si="15"/>
        <v>8878</v>
      </c>
    </row>
    <row r="478" spans="1:7">
      <c r="A478" s="2">
        <v>46225</v>
      </c>
      <c r="B478" t="s">
        <v>126</v>
      </c>
      <c r="C478" t="s">
        <v>629</v>
      </c>
      <c r="D478" s="3">
        <v>968</v>
      </c>
      <c r="E478" s="2">
        <v>46225</v>
      </c>
      <c r="F478">
        <f t="shared" ca="1" si="14"/>
        <v>10</v>
      </c>
      <c r="G478" s="3">
        <f t="shared" si="15"/>
        <v>19046</v>
      </c>
    </row>
    <row r="479" spans="1:7">
      <c r="A479" s="2">
        <v>46225</v>
      </c>
      <c r="B479" t="s">
        <v>134</v>
      </c>
      <c r="C479" t="s">
        <v>690</v>
      </c>
      <c r="D479" s="3">
        <v>5300</v>
      </c>
      <c r="E479" s="2">
        <v>46225</v>
      </c>
      <c r="F479">
        <f t="shared" ca="1" si="14"/>
        <v>10</v>
      </c>
      <c r="G479" s="3">
        <f t="shared" si="15"/>
        <v>70377</v>
      </c>
    </row>
    <row r="480" spans="1:7">
      <c r="A480" s="2">
        <v>46226</v>
      </c>
      <c r="B480" t="s">
        <v>21</v>
      </c>
      <c r="C480" t="s">
        <v>197</v>
      </c>
      <c r="D480" s="3">
        <v>6390</v>
      </c>
      <c r="E480" s="2">
        <v>46226</v>
      </c>
      <c r="F480">
        <f t="shared" ca="1" si="14"/>
        <v>9</v>
      </c>
      <c r="G480" s="3">
        <f t="shared" si="15"/>
        <v>52708</v>
      </c>
    </row>
    <row r="481" spans="1:7">
      <c r="A481" s="2">
        <v>46226</v>
      </c>
      <c r="B481" t="s">
        <v>22</v>
      </c>
      <c r="C481" t="s">
        <v>200</v>
      </c>
      <c r="D481" s="3">
        <v>116</v>
      </c>
      <c r="E481" s="2">
        <v>46226</v>
      </c>
      <c r="F481">
        <f t="shared" ca="1" si="14"/>
        <v>9</v>
      </c>
      <c r="G481" s="3">
        <f t="shared" si="15"/>
        <v>706</v>
      </c>
    </row>
    <row r="482" spans="1:7">
      <c r="A482" s="2">
        <v>46226</v>
      </c>
      <c r="B482" t="s">
        <v>46</v>
      </c>
      <c r="C482" t="s">
        <v>338</v>
      </c>
      <c r="D482" s="3">
        <v>3000</v>
      </c>
      <c r="E482" s="2">
        <v>46226</v>
      </c>
      <c r="F482">
        <f t="shared" ca="1" si="14"/>
        <v>9</v>
      </c>
      <c r="G482" s="3">
        <f t="shared" si="15"/>
        <v>145391</v>
      </c>
    </row>
    <row r="483" spans="1:7">
      <c r="A483" s="2">
        <v>46226</v>
      </c>
      <c r="B483" t="s">
        <v>59</v>
      </c>
      <c r="C483" t="s">
        <v>391</v>
      </c>
      <c r="D483" s="3">
        <v>7788</v>
      </c>
      <c r="E483" s="2">
        <v>46226</v>
      </c>
      <c r="F483">
        <f t="shared" ca="1" si="14"/>
        <v>9</v>
      </c>
      <c r="G483" s="3">
        <f t="shared" si="15"/>
        <v>180026</v>
      </c>
    </row>
    <row r="484" spans="1:7">
      <c r="A484" s="2">
        <v>46226</v>
      </c>
      <c r="B484" t="s">
        <v>97</v>
      </c>
      <c r="C484" t="s">
        <v>500</v>
      </c>
      <c r="D484" s="3">
        <v>1196</v>
      </c>
      <c r="E484" s="2">
        <v>46226</v>
      </c>
      <c r="F484">
        <f t="shared" ca="1" si="14"/>
        <v>9</v>
      </c>
      <c r="G484" s="3">
        <f t="shared" si="15"/>
        <v>22276</v>
      </c>
    </row>
    <row r="485" spans="1:7">
      <c r="A485" s="2">
        <v>46226</v>
      </c>
      <c r="B485" t="s">
        <v>128</v>
      </c>
      <c r="C485" t="s">
        <v>636</v>
      </c>
      <c r="D485" s="3">
        <v>1008</v>
      </c>
      <c r="E485" s="2">
        <v>46226</v>
      </c>
      <c r="F485">
        <f t="shared" ca="1" si="14"/>
        <v>9</v>
      </c>
      <c r="G485" s="3">
        <f t="shared" si="15"/>
        <v>29138</v>
      </c>
    </row>
    <row r="486" spans="1:7">
      <c r="A486" s="2">
        <v>46227</v>
      </c>
      <c r="B486" t="s">
        <v>19</v>
      </c>
      <c r="C486" t="s">
        <v>183</v>
      </c>
      <c r="D486" s="3">
        <v>37937</v>
      </c>
      <c r="E486" s="2">
        <v>46227</v>
      </c>
      <c r="F486">
        <f t="shared" ca="1" si="14"/>
        <v>8</v>
      </c>
      <c r="G486" s="3">
        <f t="shared" si="15"/>
        <v>51533</v>
      </c>
    </row>
    <row r="487" spans="1:7">
      <c r="A487" s="2">
        <v>46227</v>
      </c>
      <c r="B487" t="s">
        <v>22</v>
      </c>
      <c r="C487" t="s">
        <v>201</v>
      </c>
      <c r="D487" s="3">
        <v>236</v>
      </c>
      <c r="E487" s="2">
        <v>46227</v>
      </c>
      <c r="F487">
        <f t="shared" ca="1" si="14"/>
        <v>8</v>
      </c>
      <c r="G487" s="3">
        <f t="shared" si="15"/>
        <v>706</v>
      </c>
    </row>
    <row r="488" spans="1:7">
      <c r="A488" s="2">
        <v>46227</v>
      </c>
      <c r="B488" t="s">
        <v>35</v>
      </c>
      <c r="C488" t="s">
        <v>292</v>
      </c>
      <c r="D488" s="3">
        <v>124</v>
      </c>
      <c r="E488" s="2">
        <v>46227</v>
      </c>
      <c r="F488">
        <f t="shared" ca="1" si="14"/>
        <v>8</v>
      </c>
      <c r="G488" s="3">
        <f t="shared" si="15"/>
        <v>8298</v>
      </c>
    </row>
    <row r="489" spans="1:7">
      <c r="A489" s="2">
        <v>46227</v>
      </c>
      <c r="B489" t="s">
        <v>88</v>
      </c>
      <c r="C489" t="s">
        <v>459</v>
      </c>
      <c r="D489" s="3">
        <v>16988</v>
      </c>
      <c r="E489" s="2">
        <v>46227</v>
      </c>
      <c r="F489">
        <f t="shared" ca="1" si="14"/>
        <v>8</v>
      </c>
      <c r="G489" s="3">
        <f t="shared" si="15"/>
        <v>16988</v>
      </c>
    </row>
    <row r="490" spans="1:7">
      <c r="A490" s="2">
        <v>46227</v>
      </c>
      <c r="B490" t="s">
        <v>100</v>
      </c>
      <c r="C490" t="s">
        <v>515</v>
      </c>
      <c r="D490" s="3">
        <v>2673</v>
      </c>
      <c r="E490" s="2">
        <v>46227</v>
      </c>
      <c r="F490">
        <f t="shared" ca="1" si="14"/>
        <v>8</v>
      </c>
      <c r="G490" s="3">
        <f t="shared" si="15"/>
        <v>61020</v>
      </c>
    </row>
    <row r="491" spans="1:7">
      <c r="A491" s="2">
        <v>46227</v>
      </c>
      <c r="B491" t="s">
        <v>105</v>
      </c>
      <c r="C491" t="s">
        <v>526</v>
      </c>
      <c r="D491" s="3">
        <v>4200</v>
      </c>
      <c r="E491" s="2">
        <v>46227</v>
      </c>
      <c r="F491">
        <f t="shared" ca="1" si="14"/>
        <v>8</v>
      </c>
      <c r="G491" s="3">
        <f t="shared" si="15"/>
        <v>12444</v>
      </c>
    </row>
    <row r="492" spans="1:7">
      <c r="A492" s="2">
        <v>46227</v>
      </c>
      <c r="B492" t="s">
        <v>120</v>
      </c>
      <c r="C492" t="s">
        <v>613</v>
      </c>
      <c r="D492" s="3">
        <v>10164</v>
      </c>
      <c r="E492" s="2">
        <v>46227</v>
      </c>
      <c r="F492">
        <f t="shared" ca="1" si="14"/>
        <v>8</v>
      </c>
      <c r="G492" s="3">
        <f t="shared" si="15"/>
        <v>109542</v>
      </c>
    </row>
    <row r="493" spans="1:7">
      <c r="A493" s="2">
        <v>46227</v>
      </c>
      <c r="B493" t="s">
        <v>134</v>
      </c>
      <c r="C493" t="s">
        <v>691</v>
      </c>
      <c r="D493" s="3">
        <v>1360</v>
      </c>
      <c r="E493" s="2">
        <v>46227</v>
      </c>
      <c r="F493">
        <f t="shared" ca="1" si="14"/>
        <v>8</v>
      </c>
      <c r="G493" s="3">
        <f t="shared" si="15"/>
        <v>70377</v>
      </c>
    </row>
    <row r="494" spans="1:7">
      <c r="A494" s="2">
        <v>46227</v>
      </c>
      <c r="B494" t="s">
        <v>135</v>
      </c>
      <c r="C494" t="s">
        <v>700</v>
      </c>
      <c r="D494" s="3">
        <v>5900</v>
      </c>
      <c r="E494" s="2">
        <v>46227</v>
      </c>
      <c r="F494">
        <f t="shared" ca="1" si="14"/>
        <v>8</v>
      </c>
      <c r="G494" s="3">
        <f t="shared" si="15"/>
        <v>44439</v>
      </c>
    </row>
    <row r="495" spans="1:7">
      <c r="A495" s="2">
        <v>46228</v>
      </c>
      <c r="B495" t="s">
        <v>9</v>
      </c>
      <c r="C495" t="s">
        <v>146</v>
      </c>
      <c r="D495" s="3">
        <v>37418</v>
      </c>
      <c r="E495" s="2">
        <v>46228</v>
      </c>
      <c r="F495">
        <f t="shared" ca="1" si="14"/>
        <v>7</v>
      </c>
      <c r="G495" s="3">
        <f t="shared" si="15"/>
        <v>195809</v>
      </c>
    </row>
    <row r="496" spans="1:7">
      <c r="A496" s="2">
        <v>46228</v>
      </c>
      <c r="B496" t="s">
        <v>12</v>
      </c>
      <c r="C496" t="s">
        <v>156</v>
      </c>
      <c r="D496" s="3">
        <v>9450</v>
      </c>
      <c r="E496" s="2">
        <v>46228</v>
      </c>
      <c r="F496">
        <f t="shared" ca="1" si="14"/>
        <v>7</v>
      </c>
      <c r="G496" s="3">
        <f t="shared" si="15"/>
        <v>26244</v>
      </c>
    </row>
    <row r="497" spans="1:7">
      <c r="A497" s="2">
        <v>46228</v>
      </c>
      <c r="B497" t="s">
        <v>21</v>
      </c>
      <c r="C497" t="s">
        <v>198</v>
      </c>
      <c r="D497" s="3">
        <v>1770</v>
      </c>
      <c r="E497" s="2">
        <v>46228</v>
      </c>
      <c r="F497">
        <f t="shared" ca="1" si="14"/>
        <v>7</v>
      </c>
      <c r="G497" s="3">
        <f t="shared" si="15"/>
        <v>52708</v>
      </c>
    </row>
    <row r="498" spans="1:7">
      <c r="A498" s="2">
        <v>46228</v>
      </c>
      <c r="B498" t="s">
        <v>27</v>
      </c>
      <c r="C498" t="s">
        <v>246</v>
      </c>
      <c r="D498" s="3">
        <v>1875</v>
      </c>
      <c r="E498" s="2">
        <v>46228</v>
      </c>
      <c r="F498">
        <f t="shared" ca="1" si="14"/>
        <v>7</v>
      </c>
      <c r="G498" s="3">
        <f t="shared" si="15"/>
        <v>66140</v>
      </c>
    </row>
    <row r="499" spans="1:7">
      <c r="A499" s="2">
        <v>46228</v>
      </c>
      <c r="B499" t="s">
        <v>30</v>
      </c>
      <c r="C499" t="s">
        <v>279</v>
      </c>
      <c r="D499" s="3">
        <v>5145</v>
      </c>
      <c r="E499" s="2">
        <v>46228</v>
      </c>
      <c r="F499">
        <f t="shared" ca="1" si="14"/>
        <v>7</v>
      </c>
      <c r="G499" s="3">
        <f t="shared" si="15"/>
        <v>238111</v>
      </c>
    </row>
    <row r="500" spans="1:7">
      <c r="A500" s="2">
        <v>46228</v>
      </c>
      <c r="B500" t="s">
        <v>39</v>
      </c>
      <c r="C500" t="s">
        <v>313</v>
      </c>
      <c r="D500" s="3">
        <v>400</v>
      </c>
      <c r="E500" s="2">
        <v>46228</v>
      </c>
      <c r="F500">
        <f t="shared" ca="1" si="14"/>
        <v>7</v>
      </c>
      <c r="G500" s="3">
        <f t="shared" si="15"/>
        <v>53111</v>
      </c>
    </row>
    <row r="501" spans="1:7">
      <c r="A501" s="2">
        <v>46228</v>
      </c>
      <c r="B501" t="s">
        <v>44</v>
      </c>
      <c r="C501" t="s">
        <v>331</v>
      </c>
      <c r="D501" s="3">
        <v>15000</v>
      </c>
      <c r="E501" s="2">
        <v>46228</v>
      </c>
      <c r="F501">
        <f t="shared" ca="1" si="14"/>
        <v>7</v>
      </c>
      <c r="G501" s="3">
        <f t="shared" si="15"/>
        <v>30500</v>
      </c>
    </row>
    <row r="502" spans="1:7">
      <c r="A502" s="2">
        <v>46228</v>
      </c>
      <c r="B502" t="s">
        <v>46</v>
      </c>
      <c r="C502" t="s">
        <v>339</v>
      </c>
      <c r="D502" s="3">
        <v>8733</v>
      </c>
      <c r="E502" s="2">
        <v>46228</v>
      </c>
      <c r="F502">
        <f t="shared" ca="1" si="14"/>
        <v>7</v>
      </c>
      <c r="G502" s="3">
        <f t="shared" si="15"/>
        <v>145391</v>
      </c>
    </row>
    <row r="503" spans="1:7">
      <c r="A503" s="2">
        <v>46228</v>
      </c>
      <c r="B503" t="s">
        <v>47</v>
      </c>
      <c r="C503" t="s">
        <v>347</v>
      </c>
      <c r="D503" s="3">
        <v>6750</v>
      </c>
      <c r="E503" s="2">
        <v>46228</v>
      </c>
      <c r="F503">
        <f t="shared" ca="1" si="14"/>
        <v>7</v>
      </c>
      <c r="G503" s="3">
        <f t="shared" si="15"/>
        <v>67304</v>
      </c>
    </row>
    <row r="504" spans="1:7">
      <c r="A504" s="2">
        <v>46228</v>
      </c>
      <c r="B504" t="s">
        <v>87</v>
      </c>
      <c r="C504" t="s">
        <v>458</v>
      </c>
      <c r="D504" s="3">
        <v>9190</v>
      </c>
      <c r="E504" s="2">
        <v>46228</v>
      </c>
      <c r="F504">
        <f t="shared" ca="1" si="14"/>
        <v>7</v>
      </c>
      <c r="G504" s="3">
        <f t="shared" si="15"/>
        <v>107502</v>
      </c>
    </row>
    <row r="505" spans="1:7">
      <c r="A505" s="2">
        <v>46228</v>
      </c>
      <c r="B505" t="s">
        <v>95</v>
      </c>
      <c r="C505" t="s">
        <v>488</v>
      </c>
      <c r="D505" s="3">
        <v>4088</v>
      </c>
      <c r="E505" s="2">
        <v>46228</v>
      </c>
      <c r="F505">
        <f t="shared" ca="1" si="14"/>
        <v>7</v>
      </c>
      <c r="G505" s="3">
        <f t="shared" si="15"/>
        <v>77473</v>
      </c>
    </row>
    <row r="506" spans="1:7">
      <c r="A506" s="2">
        <v>46228</v>
      </c>
      <c r="B506" t="s">
        <v>114</v>
      </c>
      <c r="C506" t="s">
        <v>557</v>
      </c>
      <c r="D506" s="3">
        <v>680</v>
      </c>
      <c r="E506" s="2">
        <v>46228</v>
      </c>
      <c r="F506">
        <f t="shared" ca="1" si="14"/>
        <v>7</v>
      </c>
      <c r="G506" s="3">
        <f t="shared" si="15"/>
        <v>14037</v>
      </c>
    </row>
    <row r="507" spans="1:7">
      <c r="A507" s="2">
        <v>46228</v>
      </c>
      <c r="B507" t="s">
        <v>131</v>
      </c>
      <c r="C507" t="s">
        <v>673</v>
      </c>
      <c r="D507" s="3">
        <v>1098</v>
      </c>
      <c r="E507" s="2">
        <v>46228</v>
      </c>
      <c r="F507">
        <f t="shared" ca="1" si="14"/>
        <v>7</v>
      </c>
      <c r="G507" s="3">
        <f t="shared" si="15"/>
        <v>86975</v>
      </c>
    </row>
    <row r="508" spans="1:7">
      <c r="A508" s="2">
        <v>46228</v>
      </c>
      <c r="B508" t="s">
        <v>134</v>
      </c>
      <c r="C508" t="s">
        <v>692</v>
      </c>
      <c r="D508" s="3">
        <v>1652</v>
      </c>
      <c r="E508" s="2">
        <v>46228</v>
      </c>
      <c r="F508">
        <f t="shared" ca="1" si="14"/>
        <v>7</v>
      </c>
      <c r="G508" s="3">
        <f t="shared" si="15"/>
        <v>70377</v>
      </c>
    </row>
    <row r="509" spans="1:7">
      <c r="A509" s="2">
        <v>46230</v>
      </c>
      <c r="B509" t="s">
        <v>9</v>
      </c>
      <c r="C509" t="s">
        <v>147</v>
      </c>
      <c r="D509" s="3">
        <v>18231</v>
      </c>
      <c r="E509" s="2">
        <v>46230</v>
      </c>
      <c r="F509">
        <f t="shared" ca="1" si="14"/>
        <v>5</v>
      </c>
      <c r="G509" s="3">
        <f t="shared" si="15"/>
        <v>195809</v>
      </c>
    </row>
    <row r="510" spans="1:7">
      <c r="A510" s="2">
        <v>46230</v>
      </c>
      <c r="B510" t="s">
        <v>9</v>
      </c>
      <c r="C510" t="s">
        <v>148</v>
      </c>
      <c r="D510" s="3">
        <v>6955</v>
      </c>
      <c r="E510" s="2">
        <v>46230</v>
      </c>
      <c r="F510">
        <f t="shared" ca="1" si="14"/>
        <v>5</v>
      </c>
      <c r="G510" s="3">
        <f t="shared" si="15"/>
        <v>195809</v>
      </c>
    </row>
    <row r="511" spans="1:7">
      <c r="A511" s="2">
        <v>46230</v>
      </c>
      <c r="B511" t="s">
        <v>9</v>
      </c>
      <c r="C511" t="s">
        <v>149</v>
      </c>
      <c r="D511" s="3">
        <v>24365</v>
      </c>
      <c r="E511" s="2">
        <v>46230</v>
      </c>
      <c r="F511">
        <f t="shared" ca="1" si="14"/>
        <v>5</v>
      </c>
      <c r="G511" s="3">
        <f t="shared" si="15"/>
        <v>195809</v>
      </c>
    </row>
    <row r="512" spans="1:7">
      <c r="A512" s="2">
        <v>46230</v>
      </c>
      <c r="B512" t="s">
        <v>12</v>
      </c>
      <c r="C512" t="s">
        <v>157</v>
      </c>
      <c r="D512" s="3">
        <v>6400</v>
      </c>
      <c r="E512" s="2">
        <v>46230</v>
      </c>
      <c r="F512">
        <f t="shared" ca="1" si="14"/>
        <v>5</v>
      </c>
      <c r="G512" s="3">
        <f t="shared" si="15"/>
        <v>26244</v>
      </c>
    </row>
    <row r="513" spans="1:7">
      <c r="A513" s="2">
        <v>46230</v>
      </c>
      <c r="B513" t="s">
        <v>15</v>
      </c>
      <c r="C513" t="s">
        <v>170</v>
      </c>
      <c r="D513" s="3">
        <v>7950</v>
      </c>
      <c r="E513" s="2">
        <v>46230</v>
      </c>
      <c r="F513">
        <f t="shared" ca="1" si="14"/>
        <v>5</v>
      </c>
      <c r="G513" s="3">
        <f t="shared" si="15"/>
        <v>119404</v>
      </c>
    </row>
    <row r="514" spans="1:7">
      <c r="A514" s="2">
        <v>46230</v>
      </c>
      <c r="B514" t="s">
        <v>40</v>
      </c>
      <c r="C514" t="s">
        <v>321</v>
      </c>
      <c r="D514" s="3">
        <v>28800</v>
      </c>
      <c r="E514" s="2">
        <v>46230</v>
      </c>
      <c r="F514">
        <f t="shared" ca="1" si="14"/>
        <v>5</v>
      </c>
      <c r="G514" s="3">
        <f t="shared" si="15"/>
        <v>115200</v>
      </c>
    </row>
    <row r="515" spans="1:7">
      <c r="A515" s="2">
        <v>46230</v>
      </c>
      <c r="B515" t="s">
        <v>55</v>
      </c>
      <c r="C515" t="s">
        <v>375</v>
      </c>
      <c r="D515" s="3">
        <v>19581</v>
      </c>
      <c r="E515" s="2">
        <v>46230</v>
      </c>
      <c r="F515">
        <f t="shared" ca="1" si="14"/>
        <v>5</v>
      </c>
      <c r="G515" s="3">
        <f t="shared" si="15"/>
        <v>66432</v>
      </c>
    </row>
    <row r="516" spans="1:7">
      <c r="A516" s="2">
        <v>46230</v>
      </c>
      <c r="B516" t="s">
        <v>55</v>
      </c>
      <c r="C516" t="s">
        <v>376</v>
      </c>
      <c r="D516" s="3">
        <v>315</v>
      </c>
      <c r="E516" s="2">
        <v>46230</v>
      </c>
      <c r="F516">
        <f t="shared" ca="1" si="14"/>
        <v>5</v>
      </c>
      <c r="G516" s="3">
        <f t="shared" si="15"/>
        <v>66432</v>
      </c>
    </row>
    <row r="517" spans="1:7">
      <c r="A517" s="2">
        <v>46230</v>
      </c>
      <c r="B517" t="s">
        <v>59</v>
      </c>
      <c r="C517" t="s">
        <v>392</v>
      </c>
      <c r="D517" s="3">
        <v>29736</v>
      </c>
      <c r="E517" s="2">
        <v>46230</v>
      </c>
      <c r="F517">
        <f t="shared" ref="F517:F580" ca="1" si="16">TODAY()-E517</f>
        <v>5</v>
      </c>
      <c r="G517" s="3">
        <f t="shared" ref="G517:G563" si="17">SUMIF($B$5:$B$563,B517,$D$5:$D$563)</f>
        <v>180026</v>
      </c>
    </row>
    <row r="518" spans="1:7">
      <c r="A518" s="2">
        <v>46230</v>
      </c>
      <c r="B518" t="s">
        <v>128</v>
      </c>
      <c r="C518" t="s">
        <v>637</v>
      </c>
      <c r="D518" s="3">
        <v>6480</v>
      </c>
      <c r="E518" s="2">
        <v>46230</v>
      </c>
      <c r="F518">
        <f t="shared" ca="1" si="16"/>
        <v>5</v>
      </c>
      <c r="G518" s="3">
        <f t="shared" si="17"/>
        <v>29138</v>
      </c>
    </row>
    <row r="519" spans="1:7">
      <c r="A519" s="2">
        <v>46231</v>
      </c>
      <c r="B519" t="s">
        <v>26</v>
      </c>
      <c r="C519" t="s">
        <v>237</v>
      </c>
      <c r="D519" s="3">
        <v>386</v>
      </c>
      <c r="E519" s="2">
        <v>46231</v>
      </c>
      <c r="F519">
        <f t="shared" ca="1" si="16"/>
        <v>4</v>
      </c>
      <c r="G519" s="3">
        <f t="shared" si="17"/>
        <v>23286</v>
      </c>
    </row>
    <row r="520" spans="1:7">
      <c r="A520" s="2">
        <v>46231</v>
      </c>
      <c r="B520" t="s">
        <v>28</v>
      </c>
      <c r="C520" t="s">
        <v>248</v>
      </c>
      <c r="D520" s="3">
        <v>1711</v>
      </c>
      <c r="E520" s="2">
        <v>46231</v>
      </c>
      <c r="F520">
        <f t="shared" ca="1" si="16"/>
        <v>4</v>
      </c>
      <c r="G520" s="3">
        <f t="shared" si="17"/>
        <v>1711</v>
      </c>
    </row>
    <row r="521" spans="1:7">
      <c r="A521" s="2">
        <v>46231</v>
      </c>
      <c r="B521" t="s">
        <v>66</v>
      </c>
      <c r="C521" t="s">
        <v>408</v>
      </c>
      <c r="D521" s="3">
        <v>880</v>
      </c>
      <c r="E521" s="2">
        <v>46231</v>
      </c>
      <c r="F521">
        <f t="shared" ca="1" si="16"/>
        <v>4</v>
      </c>
      <c r="G521" s="3">
        <f t="shared" si="17"/>
        <v>880</v>
      </c>
    </row>
    <row r="522" spans="1:7">
      <c r="A522" s="2">
        <v>46231</v>
      </c>
      <c r="B522" t="s">
        <v>96</v>
      </c>
      <c r="C522" t="s">
        <v>490</v>
      </c>
      <c r="D522" s="3">
        <v>3793</v>
      </c>
      <c r="E522" s="2">
        <v>46231</v>
      </c>
      <c r="F522">
        <f t="shared" ca="1" si="16"/>
        <v>4</v>
      </c>
      <c r="G522" s="3">
        <f t="shared" si="17"/>
        <v>3793</v>
      </c>
    </row>
    <row r="523" spans="1:7">
      <c r="A523" s="2">
        <v>46231</v>
      </c>
      <c r="B523" t="s">
        <v>110</v>
      </c>
      <c r="C523" t="s">
        <v>545</v>
      </c>
      <c r="D523" s="3">
        <v>1728</v>
      </c>
      <c r="E523" s="2">
        <v>46231</v>
      </c>
      <c r="F523">
        <f t="shared" ca="1" si="16"/>
        <v>4</v>
      </c>
      <c r="G523" s="3">
        <f t="shared" si="17"/>
        <v>8878</v>
      </c>
    </row>
    <row r="524" spans="1:7">
      <c r="A524" s="2">
        <v>46232</v>
      </c>
      <c r="B524" t="s">
        <v>9</v>
      </c>
      <c r="C524" t="s">
        <v>150</v>
      </c>
      <c r="D524" s="3">
        <v>38040</v>
      </c>
      <c r="E524" s="2">
        <v>46232</v>
      </c>
      <c r="F524">
        <f t="shared" ca="1" si="16"/>
        <v>3</v>
      </c>
      <c r="G524" s="3">
        <f t="shared" si="17"/>
        <v>195809</v>
      </c>
    </row>
    <row r="525" spans="1:7">
      <c r="A525" s="2">
        <v>46232</v>
      </c>
      <c r="B525" t="s">
        <v>74</v>
      </c>
      <c r="C525" t="s">
        <v>426</v>
      </c>
      <c r="D525" s="3">
        <v>3900</v>
      </c>
      <c r="E525" s="2">
        <v>46232</v>
      </c>
      <c r="F525">
        <f t="shared" ca="1" si="16"/>
        <v>3</v>
      </c>
      <c r="G525" s="3">
        <f t="shared" si="17"/>
        <v>3900</v>
      </c>
    </row>
    <row r="526" spans="1:7">
      <c r="A526" s="2">
        <v>46232</v>
      </c>
      <c r="B526" t="s">
        <v>97</v>
      </c>
      <c r="C526" t="s">
        <v>501</v>
      </c>
      <c r="D526" s="3">
        <v>7046</v>
      </c>
      <c r="E526" s="2">
        <v>46232</v>
      </c>
      <c r="F526">
        <f t="shared" ca="1" si="16"/>
        <v>3</v>
      </c>
      <c r="G526" s="3">
        <f t="shared" si="17"/>
        <v>22276</v>
      </c>
    </row>
    <row r="527" spans="1:7">
      <c r="A527" s="2">
        <v>46232</v>
      </c>
      <c r="B527" t="s">
        <v>104</v>
      </c>
      <c r="C527" t="s">
        <v>524</v>
      </c>
      <c r="D527" s="3">
        <v>1039</v>
      </c>
      <c r="E527" s="2">
        <v>46232</v>
      </c>
      <c r="F527">
        <f t="shared" ca="1" si="16"/>
        <v>3</v>
      </c>
      <c r="G527" s="3">
        <f t="shared" si="17"/>
        <v>1659</v>
      </c>
    </row>
    <row r="528" spans="1:7">
      <c r="A528" s="2">
        <v>46232</v>
      </c>
      <c r="B528" t="s">
        <v>130</v>
      </c>
      <c r="C528" t="s">
        <v>656</v>
      </c>
      <c r="D528" s="3">
        <v>20500</v>
      </c>
      <c r="E528" s="2">
        <v>46232</v>
      </c>
      <c r="F528">
        <f t="shared" ca="1" si="16"/>
        <v>3</v>
      </c>
      <c r="G528" s="3">
        <f t="shared" si="17"/>
        <v>23173</v>
      </c>
    </row>
    <row r="529" spans="1:7">
      <c r="A529" s="2">
        <v>46232</v>
      </c>
      <c r="B529" t="s">
        <v>136</v>
      </c>
      <c r="C529" t="s">
        <v>701</v>
      </c>
      <c r="D529" s="3">
        <v>154601</v>
      </c>
      <c r="E529" s="2">
        <v>46232</v>
      </c>
      <c r="F529">
        <f t="shared" ca="1" si="16"/>
        <v>3</v>
      </c>
      <c r="G529" s="3">
        <f t="shared" si="17"/>
        <v>208518</v>
      </c>
    </row>
    <row r="530" spans="1:7">
      <c r="A530" s="2">
        <v>46233</v>
      </c>
      <c r="B530" t="s">
        <v>43</v>
      </c>
      <c r="C530" t="s">
        <v>328</v>
      </c>
      <c r="D530" s="3">
        <v>1982</v>
      </c>
      <c r="E530" s="2">
        <v>46233</v>
      </c>
      <c r="F530">
        <f t="shared" ca="1" si="16"/>
        <v>2</v>
      </c>
      <c r="G530" s="3">
        <f t="shared" si="17"/>
        <v>68959</v>
      </c>
    </row>
    <row r="531" spans="1:7">
      <c r="A531" s="2">
        <v>46233</v>
      </c>
      <c r="B531" t="s">
        <v>134</v>
      </c>
      <c r="C531" t="s">
        <v>693</v>
      </c>
      <c r="D531" s="3">
        <v>1446</v>
      </c>
      <c r="E531" s="2">
        <v>46233</v>
      </c>
      <c r="F531">
        <f t="shared" ca="1" si="16"/>
        <v>2</v>
      </c>
      <c r="G531" s="3">
        <f t="shared" si="17"/>
        <v>70377</v>
      </c>
    </row>
    <row r="532" spans="1:7">
      <c r="A532" s="2">
        <v>46233</v>
      </c>
      <c r="B532" t="s">
        <v>134</v>
      </c>
      <c r="C532" t="s">
        <v>694</v>
      </c>
      <c r="D532" s="3">
        <v>2950</v>
      </c>
      <c r="E532" s="2">
        <v>46233</v>
      </c>
      <c r="F532">
        <f t="shared" ca="1" si="16"/>
        <v>2</v>
      </c>
      <c r="G532" s="3">
        <f t="shared" si="17"/>
        <v>70377</v>
      </c>
    </row>
    <row r="533" spans="1:7">
      <c r="A533" s="2">
        <v>46233</v>
      </c>
      <c r="B533" t="s">
        <v>136</v>
      </c>
      <c r="C533" t="s">
        <v>702</v>
      </c>
      <c r="D533" s="3">
        <v>53917</v>
      </c>
      <c r="E533" s="2">
        <v>46233</v>
      </c>
      <c r="F533">
        <f t="shared" ca="1" si="16"/>
        <v>2</v>
      </c>
      <c r="G533" s="3">
        <f t="shared" si="17"/>
        <v>208518</v>
      </c>
    </row>
    <row r="534" spans="1:7">
      <c r="A534" s="2">
        <v>46234</v>
      </c>
      <c r="B534" t="s">
        <v>9</v>
      </c>
      <c r="C534" t="s">
        <v>151</v>
      </c>
      <c r="D534" s="3">
        <v>70800</v>
      </c>
      <c r="E534" s="2">
        <v>46234</v>
      </c>
      <c r="F534">
        <f t="shared" ca="1" si="16"/>
        <v>1</v>
      </c>
      <c r="G534" s="3">
        <f t="shared" si="17"/>
        <v>195809</v>
      </c>
    </row>
    <row r="535" spans="1:7">
      <c r="A535" s="2">
        <v>46234</v>
      </c>
      <c r="B535" t="s">
        <v>18</v>
      </c>
      <c r="C535" t="s">
        <v>180</v>
      </c>
      <c r="D535" s="3">
        <v>2371</v>
      </c>
      <c r="E535" s="2">
        <v>46234</v>
      </c>
      <c r="F535">
        <f t="shared" ca="1" si="16"/>
        <v>1</v>
      </c>
      <c r="G535" s="3">
        <f t="shared" si="17"/>
        <v>12267</v>
      </c>
    </row>
    <row r="536" spans="1:7">
      <c r="A536" s="2">
        <v>46234</v>
      </c>
      <c r="B536" t="s">
        <v>52</v>
      </c>
      <c r="C536" t="s">
        <v>365</v>
      </c>
      <c r="D536" s="3">
        <v>1652</v>
      </c>
      <c r="E536" s="2">
        <v>46234</v>
      </c>
      <c r="F536">
        <f t="shared" ca="1" si="16"/>
        <v>1</v>
      </c>
      <c r="G536" s="3">
        <f t="shared" si="17"/>
        <v>22266</v>
      </c>
    </row>
    <row r="537" spans="1:7">
      <c r="A537" s="2">
        <v>46234</v>
      </c>
      <c r="B537" t="s">
        <v>97</v>
      </c>
      <c r="C537" t="s">
        <v>502</v>
      </c>
      <c r="D537" s="3">
        <v>2426</v>
      </c>
      <c r="E537" s="2">
        <v>46234</v>
      </c>
      <c r="F537">
        <f t="shared" ca="1" si="16"/>
        <v>1</v>
      </c>
      <c r="G537" s="3">
        <f t="shared" si="17"/>
        <v>22276</v>
      </c>
    </row>
    <row r="538" spans="1:7">
      <c r="A538" s="2">
        <v>46234</v>
      </c>
      <c r="B538" t="s">
        <v>118</v>
      </c>
      <c r="C538" t="s">
        <v>588</v>
      </c>
      <c r="D538" s="3">
        <v>1804</v>
      </c>
      <c r="E538" s="2">
        <v>46234</v>
      </c>
      <c r="F538">
        <f t="shared" ca="1" si="16"/>
        <v>1</v>
      </c>
      <c r="G538" s="3">
        <f t="shared" si="17"/>
        <v>158534</v>
      </c>
    </row>
    <row r="539" spans="1:7">
      <c r="A539" s="2">
        <v>46234</v>
      </c>
      <c r="B539" t="s">
        <v>134</v>
      </c>
      <c r="C539" t="s">
        <v>695</v>
      </c>
      <c r="D539" s="3">
        <v>590</v>
      </c>
      <c r="E539" s="2">
        <v>46234</v>
      </c>
      <c r="F539">
        <f t="shared" ca="1" si="16"/>
        <v>1</v>
      </c>
      <c r="G539" s="3">
        <f t="shared" si="17"/>
        <v>70377</v>
      </c>
    </row>
    <row r="540" spans="1:7">
      <c r="A540" s="2">
        <v>46235</v>
      </c>
      <c r="B540" t="s">
        <v>11</v>
      </c>
      <c r="C540" t="s">
        <v>153</v>
      </c>
      <c r="D540" s="3">
        <v>2592</v>
      </c>
      <c r="E540" s="2">
        <v>46235</v>
      </c>
      <c r="F540">
        <f t="shared" ca="1" si="16"/>
        <v>0</v>
      </c>
      <c r="G540" s="3">
        <f t="shared" si="17"/>
        <v>2592</v>
      </c>
    </row>
    <row r="541" spans="1:7">
      <c r="A541" s="2">
        <v>46235</v>
      </c>
      <c r="B541" t="s">
        <v>12</v>
      </c>
      <c r="C541" t="s">
        <v>158</v>
      </c>
      <c r="D541" s="3">
        <v>6494</v>
      </c>
      <c r="E541" s="2">
        <v>46235</v>
      </c>
      <c r="F541">
        <f t="shared" ca="1" si="16"/>
        <v>0</v>
      </c>
      <c r="G541" s="3">
        <f t="shared" si="17"/>
        <v>26244</v>
      </c>
    </row>
    <row r="542" spans="1:7">
      <c r="A542" s="2">
        <v>46235</v>
      </c>
      <c r="B542" t="s">
        <v>15</v>
      </c>
      <c r="C542" t="s">
        <v>171</v>
      </c>
      <c r="D542" s="3">
        <v>3780</v>
      </c>
      <c r="E542" s="2">
        <v>46235</v>
      </c>
      <c r="F542">
        <f t="shared" ca="1" si="16"/>
        <v>0</v>
      </c>
      <c r="G542" s="3">
        <f t="shared" si="17"/>
        <v>119404</v>
      </c>
    </row>
    <row r="543" spans="1:7">
      <c r="A543" s="2">
        <v>46235</v>
      </c>
      <c r="B543" t="s">
        <v>25</v>
      </c>
      <c r="C543" t="s">
        <v>224</v>
      </c>
      <c r="D543" s="3">
        <v>365</v>
      </c>
      <c r="E543" s="2">
        <v>46235</v>
      </c>
      <c r="F543">
        <f t="shared" ca="1" si="16"/>
        <v>0</v>
      </c>
      <c r="G543" s="3">
        <f t="shared" si="17"/>
        <v>92608</v>
      </c>
    </row>
    <row r="544" spans="1:7">
      <c r="A544" s="2">
        <v>46235</v>
      </c>
      <c r="B544" t="s">
        <v>27</v>
      </c>
      <c r="C544" t="s">
        <v>247</v>
      </c>
      <c r="D544" s="3">
        <v>860</v>
      </c>
      <c r="E544" s="2">
        <v>46235</v>
      </c>
      <c r="F544">
        <f t="shared" ca="1" si="16"/>
        <v>0</v>
      </c>
      <c r="G544" s="3">
        <f t="shared" si="17"/>
        <v>66140</v>
      </c>
    </row>
    <row r="545" spans="1:7">
      <c r="A545" s="2">
        <v>46235</v>
      </c>
      <c r="B545" t="s">
        <v>30</v>
      </c>
      <c r="C545" t="s">
        <v>280</v>
      </c>
      <c r="D545" s="3">
        <v>3533</v>
      </c>
      <c r="E545" s="2">
        <v>46235</v>
      </c>
      <c r="F545">
        <f t="shared" ca="1" si="16"/>
        <v>0</v>
      </c>
      <c r="G545" s="3">
        <f t="shared" si="17"/>
        <v>238111</v>
      </c>
    </row>
    <row r="546" spans="1:7">
      <c r="A546" s="2">
        <v>46235</v>
      </c>
      <c r="B546" t="s">
        <v>37</v>
      </c>
      <c r="C546" t="s">
        <v>295</v>
      </c>
      <c r="D546" s="3">
        <v>1175</v>
      </c>
      <c r="E546" s="2">
        <v>46235</v>
      </c>
      <c r="F546">
        <f t="shared" ca="1" si="16"/>
        <v>0</v>
      </c>
      <c r="G546" s="3">
        <f t="shared" si="17"/>
        <v>1175</v>
      </c>
    </row>
    <row r="547" spans="1:7">
      <c r="A547" s="2">
        <v>46235</v>
      </c>
      <c r="B547" t="s">
        <v>42</v>
      </c>
      <c r="C547" t="s">
        <v>324</v>
      </c>
      <c r="D547" s="3">
        <v>764</v>
      </c>
      <c r="E547" s="2">
        <v>46235</v>
      </c>
      <c r="F547">
        <f t="shared" ca="1" si="16"/>
        <v>0</v>
      </c>
      <c r="G547" s="3">
        <f t="shared" si="17"/>
        <v>764</v>
      </c>
    </row>
    <row r="548" spans="1:7">
      <c r="A548" s="2">
        <v>46235</v>
      </c>
      <c r="B548" t="s">
        <v>46</v>
      </c>
      <c r="C548" t="s">
        <v>340</v>
      </c>
      <c r="D548" s="3">
        <v>15820</v>
      </c>
      <c r="E548" s="2">
        <v>46235</v>
      </c>
      <c r="F548">
        <f t="shared" ca="1" si="16"/>
        <v>0</v>
      </c>
      <c r="G548" s="3">
        <f t="shared" si="17"/>
        <v>145391</v>
      </c>
    </row>
    <row r="549" spans="1:7">
      <c r="A549" s="2">
        <v>46235</v>
      </c>
      <c r="B549" t="s">
        <v>47</v>
      </c>
      <c r="C549" t="s">
        <v>348</v>
      </c>
      <c r="D549" s="3">
        <v>17640</v>
      </c>
      <c r="E549" s="2">
        <v>46235</v>
      </c>
      <c r="F549">
        <f t="shared" ca="1" si="16"/>
        <v>0</v>
      </c>
      <c r="G549" s="3">
        <f t="shared" si="17"/>
        <v>67304</v>
      </c>
    </row>
    <row r="550" spans="1:7">
      <c r="A550" s="2">
        <v>46235</v>
      </c>
      <c r="B550" t="s">
        <v>50</v>
      </c>
      <c r="C550" t="s">
        <v>351</v>
      </c>
      <c r="D550" s="3">
        <v>1900</v>
      </c>
      <c r="E550" s="2">
        <v>46235</v>
      </c>
      <c r="F550">
        <f t="shared" ca="1" si="16"/>
        <v>0</v>
      </c>
      <c r="G550" s="3">
        <f t="shared" si="17"/>
        <v>1900</v>
      </c>
    </row>
    <row r="551" spans="1:7">
      <c r="A551" s="2">
        <v>46235</v>
      </c>
      <c r="B551" t="s">
        <v>61</v>
      </c>
      <c r="C551" t="s">
        <v>399</v>
      </c>
      <c r="D551" s="3">
        <v>1770</v>
      </c>
      <c r="E551" s="2">
        <v>46235</v>
      </c>
      <c r="F551">
        <f t="shared" ca="1" si="16"/>
        <v>0</v>
      </c>
      <c r="G551" s="3">
        <f t="shared" si="17"/>
        <v>1770</v>
      </c>
    </row>
    <row r="552" spans="1:7">
      <c r="A552" s="2">
        <v>46235</v>
      </c>
      <c r="B552" t="s">
        <v>64</v>
      </c>
      <c r="C552" t="s">
        <v>402</v>
      </c>
      <c r="D552" s="3">
        <v>3500</v>
      </c>
      <c r="E552" s="2">
        <v>46235</v>
      </c>
      <c r="F552">
        <f t="shared" ca="1" si="16"/>
        <v>0</v>
      </c>
      <c r="G552" s="3">
        <f t="shared" si="17"/>
        <v>3500</v>
      </c>
    </row>
    <row r="553" spans="1:7">
      <c r="A553" s="2">
        <v>46235</v>
      </c>
      <c r="B553" t="s">
        <v>75</v>
      </c>
      <c r="C553" t="s">
        <v>427</v>
      </c>
      <c r="D553" s="3">
        <v>1168</v>
      </c>
      <c r="E553" s="2">
        <v>46235</v>
      </c>
      <c r="F553">
        <f t="shared" ca="1" si="16"/>
        <v>0</v>
      </c>
      <c r="G553" s="3">
        <f t="shared" si="17"/>
        <v>1168</v>
      </c>
    </row>
    <row r="554" spans="1:7">
      <c r="A554" s="2">
        <v>46235</v>
      </c>
      <c r="B554" t="s">
        <v>76</v>
      </c>
      <c r="C554" t="s">
        <v>433</v>
      </c>
      <c r="D554" s="3">
        <v>12296</v>
      </c>
      <c r="E554" s="2">
        <v>46235</v>
      </c>
      <c r="F554">
        <f t="shared" ca="1" si="16"/>
        <v>0</v>
      </c>
      <c r="G554" s="3">
        <f t="shared" si="17"/>
        <v>182236</v>
      </c>
    </row>
    <row r="555" spans="1:7">
      <c r="A555" s="2">
        <v>46235</v>
      </c>
      <c r="B555" t="s">
        <v>94</v>
      </c>
      <c r="C555" t="s">
        <v>479</v>
      </c>
      <c r="D555" s="3">
        <v>5886</v>
      </c>
      <c r="E555" s="2">
        <v>46235</v>
      </c>
      <c r="F555">
        <f t="shared" ca="1" si="16"/>
        <v>0</v>
      </c>
      <c r="G555" s="3">
        <f t="shared" si="17"/>
        <v>5886</v>
      </c>
    </row>
    <row r="556" spans="1:7">
      <c r="A556" s="2">
        <v>46235</v>
      </c>
      <c r="B556" t="s">
        <v>95</v>
      </c>
      <c r="C556" t="s">
        <v>489</v>
      </c>
      <c r="D556" s="3">
        <v>8666</v>
      </c>
      <c r="E556" s="2">
        <v>46235</v>
      </c>
      <c r="F556">
        <f t="shared" ca="1" si="16"/>
        <v>0</v>
      </c>
      <c r="G556" s="3">
        <f t="shared" si="17"/>
        <v>77473</v>
      </c>
    </row>
    <row r="557" spans="1:7">
      <c r="A557" s="2">
        <v>46235</v>
      </c>
      <c r="B557" t="s">
        <v>101</v>
      </c>
      <c r="C557" t="s">
        <v>520</v>
      </c>
      <c r="D557" s="3">
        <v>880</v>
      </c>
      <c r="E557" s="2">
        <v>46235</v>
      </c>
      <c r="F557">
        <f t="shared" ca="1" si="16"/>
        <v>0</v>
      </c>
      <c r="G557" s="3">
        <f t="shared" si="17"/>
        <v>11900</v>
      </c>
    </row>
    <row r="558" spans="1:7">
      <c r="A558" s="2">
        <v>46235</v>
      </c>
      <c r="B558" t="s">
        <v>109</v>
      </c>
      <c r="C558" t="s">
        <v>540</v>
      </c>
      <c r="D558" s="3">
        <v>7775</v>
      </c>
      <c r="E558" s="2">
        <v>46235</v>
      </c>
      <c r="F558">
        <f t="shared" ca="1" si="16"/>
        <v>0</v>
      </c>
      <c r="G558" s="3">
        <f t="shared" si="17"/>
        <v>7775</v>
      </c>
    </row>
    <row r="559" spans="1:7">
      <c r="A559" s="2">
        <v>46235</v>
      </c>
      <c r="B559" t="s">
        <v>114</v>
      </c>
      <c r="C559" t="s">
        <v>558</v>
      </c>
      <c r="D559" s="3">
        <v>2160</v>
      </c>
      <c r="E559" s="2">
        <v>46235</v>
      </c>
      <c r="F559">
        <f t="shared" ca="1" si="16"/>
        <v>0</v>
      </c>
      <c r="G559" s="3">
        <f t="shared" si="17"/>
        <v>14037</v>
      </c>
    </row>
    <row r="560" spans="1:7">
      <c r="A560" s="2">
        <v>46235</v>
      </c>
      <c r="B560" t="s">
        <v>121</v>
      </c>
      <c r="C560" t="s">
        <v>614</v>
      </c>
      <c r="D560" s="3">
        <v>4500</v>
      </c>
      <c r="E560" s="2">
        <v>46235</v>
      </c>
      <c r="F560">
        <f t="shared" ca="1" si="16"/>
        <v>0</v>
      </c>
      <c r="G560" s="3">
        <f t="shared" si="17"/>
        <v>4500</v>
      </c>
    </row>
    <row r="561" spans="1:7">
      <c r="A561" s="2">
        <v>46235</v>
      </c>
      <c r="B561" t="s">
        <v>128</v>
      </c>
      <c r="C561" t="s">
        <v>638</v>
      </c>
      <c r="D561" s="3">
        <v>200</v>
      </c>
      <c r="E561" s="2">
        <v>46235</v>
      </c>
      <c r="F561">
        <f t="shared" ca="1" si="16"/>
        <v>0</v>
      </c>
      <c r="G561" s="3">
        <f t="shared" si="17"/>
        <v>29138</v>
      </c>
    </row>
    <row r="562" spans="1:7">
      <c r="A562" s="2">
        <v>46235</v>
      </c>
      <c r="B562" t="s">
        <v>131</v>
      </c>
      <c r="C562" t="s">
        <v>674</v>
      </c>
      <c r="D562" s="3">
        <v>246</v>
      </c>
      <c r="E562" s="2">
        <v>46235</v>
      </c>
      <c r="F562">
        <f t="shared" ca="1" si="16"/>
        <v>0</v>
      </c>
      <c r="G562" s="3">
        <f t="shared" si="17"/>
        <v>86975</v>
      </c>
    </row>
    <row r="563" spans="1:7">
      <c r="A563" s="2">
        <v>46235</v>
      </c>
      <c r="B563" t="s">
        <v>137</v>
      </c>
      <c r="C563" t="s">
        <v>704</v>
      </c>
      <c r="D563" s="3">
        <v>642</v>
      </c>
      <c r="E563" s="2">
        <v>46235</v>
      </c>
      <c r="F563">
        <f t="shared" ca="1" si="16"/>
        <v>0</v>
      </c>
      <c r="G563" s="3">
        <f t="shared" si="17"/>
        <v>13872</v>
      </c>
    </row>
  </sheetData>
  <mergeCells count="2">
    <mergeCell ref="A1:G1"/>
    <mergeCell ref="A2:G2"/>
  </mergeCells>
  <conditionalFormatting sqref="F5:F563">
    <cfRule type="colorScale" priority="1">
      <colorScale>
        <cfvo type="min"/>
        <cfvo type="percentile" val="50"/>
        <cfvo type="max"/>
        <color rgb="FFE2F0D9"/>
        <color rgb="FFFFE699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3"/>
  <sheetViews>
    <sheetView showGridLines="0" workbookViewId="0">
      <selection sqref="A1:G1"/>
    </sheetView>
  </sheetViews>
  <sheetFormatPr defaultRowHeight="13.8"/>
  <cols>
    <col min="1" max="1" width="48" customWidth="1"/>
    <col min="2" max="2" width="20" customWidth="1"/>
    <col min="3" max="3" width="14" customWidth="1"/>
    <col min="4" max="4" width="18" customWidth="1"/>
    <col min="5" max="5" width="14" customWidth="1"/>
    <col min="6" max="6" width="16" customWidth="1"/>
    <col min="7" max="7" width="18" customWidth="1"/>
  </cols>
  <sheetData>
    <row r="1" spans="1:7" ht="22.8">
      <c r="A1" s="18" t="s">
        <v>138</v>
      </c>
      <c r="B1" s="18"/>
      <c r="C1" s="18"/>
      <c r="D1" s="18"/>
      <c r="E1" s="18"/>
      <c r="F1" s="18"/>
      <c r="G1" s="18"/>
    </row>
    <row r="2" spans="1:7" ht="14.4">
      <c r="A2" s="19" t="s">
        <v>139</v>
      </c>
      <c r="B2" s="19"/>
      <c r="C2" s="19"/>
      <c r="D2" s="19"/>
      <c r="E2" s="19"/>
      <c r="F2" s="19"/>
      <c r="G2" s="19"/>
    </row>
    <row r="4" spans="1:7">
      <c r="A4" s="4" t="s">
        <v>4</v>
      </c>
      <c r="B4" s="5" t="s">
        <v>140</v>
      </c>
      <c r="C4" s="5" t="s">
        <v>141</v>
      </c>
      <c r="D4" s="5" t="s">
        <v>142</v>
      </c>
      <c r="E4" s="5" t="s">
        <v>143</v>
      </c>
      <c r="F4" s="5" t="s">
        <v>144</v>
      </c>
      <c r="G4" s="6" t="s">
        <v>145</v>
      </c>
    </row>
    <row r="5" spans="1:7">
      <c r="A5" t="s">
        <v>9</v>
      </c>
      <c r="B5" t="s">
        <v>146</v>
      </c>
      <c r="C5" s="2">
        <v>46228</v>
      </c>
      <c r="D5" s="3">
        <v>37418</v>
      </c>
      <c r="E5" s="2">
        <v>46228</v>
      </c>
      <c r="F5">
        <f t="shared" ref="F5:F68" ca="1" si="0">TODAY()-E5</f>
        <v>7</v>
      </c>
      <c r="G5" s="3">
        <f t="shared" ref="G5:G68" si="1">SUMIF($A$5:$A$563,A5,$D$5:$D$563)</f>
        <v>195809</v>
      </c>
    </row>
    <row r="6" spans="1:7">
      <c r="A6" t="s">
        <v>9</v>
      </c>
      <c r="B6" t="s">
        <v>147</v>
      </c>
      <c r="C6" s="2">
        <v>46230</v>
      </c>
      <c r="D6" s="3">
        <v>18231</v>
      </c>
      <c r="E6" s="2">
        <v>46230</v>
      </c>
      <c r="F6">
        <f t="shared" ca="1" si="0"/>
        <v>5</v>
      </c>
      <c r="G6" s="3">
        <f t="shared" si="1"/>
        <v>195809</v>
      </c>
    </row>
    <row r="7" spans="1:7">
      <c r="A7" t="s">
        <v>9</v>
      </c>
      <c r="B7" t="s">
        <v>148</v>
      </c>
      <c r="C7" s="2">
        <v>46230</v>
      </c>
      <c r="D7" s="3">
        <v>6955</v>
      </c>
      <c r="E7" s="2">
        <v>46230</v>
      </c>
      <c r="F7">
        <f t="shared" ca="1" si="0"/>
        <v>5</v>
      </c>
      <c r="G7" s="3">
        <f t="shared" si="1"/>
        <v>195809</v>
      </c>
    </row>
    <row r="8" spans="1:7">
      <c r="A8" t="s">
        <v>9</v>
      </c>
      <c r="B8" t="s">
        <v>149</v>
      </c>
      <c r="C8" s="2">
        <v>46230</v>
      </c>
      <c r="D8" s="3">
        <v>24365</v>
      </c>
      <c r="E8" s="2">
        <v>46230</v>
      </c>
      <c r="F8">
        <f t="shared" ca="1" si="0"/>
        <v>5</v>
      </c>
      <c r="G8" s="3">
        <f t="shared" si="1"/>
        <v>195809</v>
      </c>
    </row>
    <row r="9" spans="1:7">
      <c r="A9" t="s">
        <v>9</v>
      </c>
      <c r="B9" t="s">
        <v>150</v>
      </c>
      <c r="C9" s="2">
        <v>46232</v>
      </c>
      <c r="D9" s="3">
        <v>38040</v>
      </c>
      <c r="E9" s="2">
        <v>46232</v>
      </c>
      <c r="F9">
        <f t="shared" ca="1" si="0"/>
        <v>3</v>
      </c>
      <c r="G9" s="3">
        <f t="shared" si="1"/>
        <v>195809</v>
      </c>
    </row>
    <row r="10" spans="1:7">
      <c r="A10" t="s">
        <v>9</v>
      </c>
      <c r="B10" t="s">
        <v>151</v>
      </c>
      <c r="C10" s="2">
        <v>46234</v>
      </c>
      <c r="D10" s="3">
        <v>70800</v>
      </c>
      <c r="E10" s="2">
        <v>46234</v>
      </c>
      <c r="F10">
        <f t="shared" ca="1" si="0"/>
        <v>1</v>
      </c>
      <c r="G10" s="3">
        <f t="shared" si="1"/>
        <v>195809</v>
      </c>
    </row>
    <row r="11" spans="1:7">
      <c r="A11" t="s">
        <v>10</v>
      </c>
      <c r="B11" t="s">
        <v>152</v>
      </c>
      <c r="C11" s="2">
        <v>46216</v>
      </c>
      <c r="D11" s="3">
        <v>338</v>
      </c>
      <c r="E11" s="2">
        <v>46216</v>
      </c>
      <c r="F11">
        <f t="shared" ca="1" si="0"/>
        <v>19</v>
      </c>
      <c r="G11" s="3">
        <f t="shared" si="1"/>
        <v>338</v>
      </c>
    </row>
    <row r="12" spans="1:7">
      <c r="A12" t="s">
        <v>11</v>
      </c>
      <c r="B12" t="s">
        <v>153</v>
      </c>
      <c r="C12" s="2">
        <v>46235</v>
      </c>
      <c r="D12" s="3">
        <v>2592</v>
      </c>
      <c r="E12" s="2">
        <v>46235</v>
      </c>
      <c r="F12">
        <f t="shared" ca="1" si="0"/>
        <v>0</v>
      </c>
      <c r="G12" s="3">
        <f t="shared" si="1"/>
        <v>2592</v>
      </c>
    </row>
    <row r="13" spans="1:7">
      <c r="A13" t="s">
        <v>12</v>
      </c>
      <c r="B13" t="s">
        <v>154</v>
      </c>
      <c r="C13" s="2">
        <v>46214</v>
      </c>
      <c r="D13" s="3">
        <v>3250</v>
      </c>
      <c r="E13" s="2">
        <v>46214</v>
      </c>
      <c r="F13">
        <f t="shared" ca="1" si="0"/>
        <v>21</v>
      </c>
      <c r="G13" s="3">
        <f t="shared" si="1"/>
        <v>26244</v>
      </c>
    </row>
    <row r="14" spans="1:7">
      <c r="A14" t="s">
        <v>12</v>
      </c>
      <c r="B14" t="s">
        <v>155</v>
      </c>
      <c r="C14" s="2">
        <v>46221</v>
      </c>
      <c r="D14" s="3">
        <v>650</v>
      </c>
      <c r="E14" s="2">
        <v>46221</v>
      </c>
      <c r="F14">
        <f t="shared" ca="1" si="0"/>
        <v>14</v>
      </c>
      <c r="G14" s="3">
        <f t="shared" si="1"/>
        <v>26244</v>
      </c>
    </row>
    <row r="15" spans="1:7">
      <c r="A15" t="s">
        <v>12</v>
      </c>
      <c r="B15" t="s">
        <v>156</v>
      </c>
      <c r="C15" s="2">
        <v>46228</v>
      </c>
      <c r="D15" s="3">
        <v>9450</v>
      </c>
      <c r="E15" s="2">
        <v>46228</v>
      </c>
      <c r="F15">
        <f t="shared" ca="1" si="0"/>
        <v>7</v>
      </c>
      <c r="G15" s="3">
        <f t="shared" si="1"/>
        <v>26244</v>
      </c>
    </row>
    <row r="16" spans="1:7">
      <c r="A16" t="s">
        <v>12</v>
      </c>
      <c r="B16" t="s">
        <v>157</v>
      </c>
      <c r="C16" s="2">
        <v>46230</v>
      </c>
      <c r="D16" s="3">
        <v>6400</v>
      </c>
      <c r="E16" s="2">
        <v>46230</v>
      </c>
      <c r="F16">
        <f t="shared" ca="1" si="0"/>
        <v>5</v>
      </c>
      <c r="G16" s="3">
        <f t="shared" si="1"/>
        <v>26244</v>
      </c>
    </row>
    <row r="17" spans="1:7">
      <c r="A17" t="s">
        <v>12</v>
      </c>
      <c r="B17" t="s">
        <v>158</v>
      </c>
      <c r="C17" s="2">
        <v>46235</v>
      </c>
      <c r="D17" s="3">
        <v>6494</v>
      </c>
      <c r="E17" s="2">
        <v>46235</v>
      </c>
      <c r="F17">
        <f t="shared" ca="1" si="0"/>
        <v>0</v>
      </c>
      <c r="G17" s="3">
        <f t="shared" si="1"/>
        <v>26244</v>
      </c>
    </row>
    <row r="18" spans="1:7">
      <c r="A18" t="s">
        <v>13</v>
      </c>
      <c r="B18" t="s">
        <v>159</v>
      </c>
      <c r="C18" s="2">
        <v>46218</v>
      </c>
      <c r="D18" s="3">
        <v>1770</v>
      </c>
      <c r="E18" s="2">
        <v>46218</v>
      </c>
      <c r="F18">
        <f t="shared" ca="1" si="0"/>
        <v>17</v>
      </c>
      <c r="G18" s="3">
        <f t="shared" si="1"/>
        <v>1770</v>
      </c>
    </row>
    <row r="19" spans="1:7">
      <c r="A19" t="s">
        <v>14</v>
      </c>
      <c r="B19" t="s">
        <v>160</v>
      </c>
      <c r="C19" s="2">
        <v>46172</v>
      </c>
      <c r="D19" s="3">
        <v>4800</v>
      </c>
      <c r="E19" s="2">
        <v>46172</v>
      </c>
      <c r="F19">
        <f t="shared" ca="1" si="0"/>
        <v>63</v>
      </c>
      <c r="G19" s="3">
        <f t="shared" si="1"/>
        <v>4800</v>
      </c>
    </row>
    <row r="20" spans="1:7">
      <c r="A20" t="s">
        <v>15</v>
      </c>
      <c r="B20" t="s">
        <v>161</v>
      </c>
      <c r="C20" s="2">
        <v>46102</v>
      </c>
      <c r="D20" s="3">
        <v>44180</v>
      </c>
      <c r="E20" s="2">
        <v>46102</v>
      </c>
      <c r="F20">
        <f t="shared" ca="1" si="0"/>
        <v>133</v>
      </c>
      <c r="G20" s="3">
        <f t="shared" si="1"/>
        <v>119404</v>
      </c>
    </row>
    <row r="21" spans="1:7">
      <c r="A21" t="s">
        <v>15</v>
      </c>
      <c r="B21" t="s">
        <v>162</v>
      </c>
      <c r="C21" s="2">
        <v>46109</v>
      </c>
      <c r="D21" s="3">
        <v>249</v>
      </c>
      <c r="E21" s="2">
        <v>46109</v>
      </c>
      <c r="F21">
        <f t="shared" ca="1" si="0"/>
        <v>126</v>
      </c>
      <c r="G21" s="3">
        <f t="shared" si="1"/>
        <v>119404</v>
      </c>
    </row>
    <row r="22" spans="1:7">
      <c r="A22" t="s">
        <v>15</v>
      </c>
      <c r="B22" t="s">
        <v>163</v>
      </c>
      <c r="C22" s="2">
        <v>46116</v>
      </c>
      <c r="D22" s="3">
        <v>13500</v>
      </c>
      <c r="E22" s="2">
        <v>46116</v>
      </c>
      <c r="F22">
        <f t="shared" ca="1" si="0"/>
        <v>119</v>
      </c>
      <c r="G22" s="3">
        <f t="shared" si="1"/>
        <v>119404</v>
      </c>
    </row>
    <row r="23" spans="1:7">
      <c r="A23" t="s">
        <v>15</v>
      </c>
      <c r="B23" t="s">
        <v>164</v>
      </c>
      <c r="C23" s="2">
        <v>46137</v>
      </c>
      <c r="D23" s="3">
        <v>1180</v>
      </c>
      <c r="E23" s="2">
        <v>46137</v>
      </c>
      <c r="F23">
        <f t="shared" ca="1" si="0"/>
        <v>98</v>
      </c>
      <c r="G23" s="3">
        <f t="shared" si="1"/>
        <v>119404</v>
      </c>
    </row>
    <row r="24" spans="1:7">
      <c r="A24" t="s">
        <v>15</v>
      </c>
      <c r="B24" t="s">
        <v>165</v>
      </c>
      <c r="C24" s="2">
        <v>46158</v>
      </c>
      <c r="D24" s="3">
        <v>795</v>
      </c>
      <c r="E24" s="2">
        <v>46158</v>
      </c>
      <c r="F24">
        <f t="shared" ca="1" si="0"/>
        <v>77</v>
      </c>
      <c r="G24" s="3">
        <f t="shared" si="1"/>
        <v>119404</v>
      </c>
    </row>
    <row r="25" spans="1:7">
      <c r="A25" t="s">
        <v>15</v>
      </c>
      <c r="B25" t="s">
        <v>166</v>
      </c>
      <c r="C25" s="2">
        <v>46172</v>
      </c>
      <c r="D25" s="3">
        <v>13500</v>
      </c>
      <c r="E25" s="2">
        <v>46172</v>
      </c>
      <c r="F25">
        <f t="shared" ca="1" si="0"/>
        <v>63</v>
      </c>
      <c r="G25" s="3">
        <f t="shared" si="1"/>
        <v>119404</v>
      </c>
    </row>
    <row r="26" spans="1:7">
      <c r="A26" t="s">
        <v>15</v>
      </c>
      <c r="B26" t="s">
        <v>167</v>
      </c>
      <c r="C26" s="2">
        <v>46179</v>
      </c>
      <c r="D26" s="3">
        <v>1075</v>
      </c>
      <c r="E26" s="2">
        <v>46179</v>
      </c>
      <c r="F26">
        <f t="shared" ca="1" si="0"/>
        <v>56</v>
      </c>
      <c r="G26" s="3">
        <f t="shared" si="1"/>
        <v>119404</v>
      </c>
    </row>
    <row r="27" spans="1:7">
      <c r="A27" t="s">
        <v>15</v>
      </c>
      <c r="B27" t="s">
        <v>168</v>
      </c>
      <c r="C27" s="2">
        <v>46206</v>
      </c>
      <c r="D27" s="3">
        <v>32400</v>
      </c>
      <c r="E27" s="2">
        <v>46206</v>
      </c>
      <c r="F27">
        <f t="shared" ca="1" si="0"/>
        <v>29</v>
      </c>
      <c r="G27" s="3">
        <f t="shared" si="1"/>
        <v>119404</v>
      </c>
    </row>
    <row r="28" spans="1:7">
      <c r="A28" t="s">
        <v>15</v>
      </c>
      <c r="B28" t="s">
        <v>169</v>
      </c>
      <c r="C28" s="2">
        <v>46221</v>
      </c>
      <c r="D28" s="3">
        <v>795</v>
      </c>
      <c r="E28" s="2">
        <v>46221</v>
      </c>
      <c r="F28">
        <f t="shared" ca="1" si="0"/>
        <v>14</v>
      </c>
      <c r="G28" s="3">
        <f t="shared" si="1"/>
        <v>119404</v>
      </c>
    </row>
    <row r="29" spans="1:7">
      <c r="A29" t="s">
        <v>15</v>
      </c>
      <c r="B29" t="s">
        <v>170</v>
      </c>
      <c r="C29" s="2">
        <v>46230</v>
      </c>
      <c r="D29" s="3">
        <v>7950</v>
      </c>
      <c r="E29" s="2">
        <v>46230</v>
      </c>
      <c r="F29">
        <f t="shared" ca="1" si="0"/>
        <v>5</v>
      </c>
      <c r="G29" s="3">
        <f t="shared" si="1"/>
        <v>119404</v>
      </c>
    </row>
    <row r="30" spans="1:7">
      <c r="A30" t="s">
        <v>15</v>
      </c>
      <c r="B30" t="s">
        <v>171</v>
      </c>
      <c r="C30" s="2">
        <v>46235</v>
      </c>
      <c r="D30" s="3">
        <v>3780</v>
      </c>
      <c r="E30" s="2">
        <v>46235</v>
      </c>
      <c r="F30">
        <f t="shared" ca="1" si="0"/>
        <v>0</v>
      </c>
      <c r="G30" s="3">
        <f t="shared" si="1"/>
        <v>119404</v>
      </c>
    </row>
    <row r="31" spans="1:7">
      <c r="A31" t="s">
        <v>16</v>
      </c>
      <c r="B31" t="s">
        <v>172</v>
      </c>
      <c r="C31" s="2">
        <v>46011</v>
      </c>
      <c r="D31" s="3">
        <v>885</v>
      </c>
      <c r="E31" s="2">
        <v>46011</v>
      </c>
      <c r="F31">
        <f t="shared" ca="1" si="0"/>
        <v>224</v>
      </c>
      <c r="G31" s="3">
        <f t="shared" si="1"/>
        <v>7965</v>
      </c>
    </row>
    <row r="32" spans="1:7">
      <c r="A32" t="s">
        <v>16</v>
      </c>
      <c r="B32" t="s">
        <v>173</v>
      </c>
      <c r="C32" s="2">
        <v>46028</v>
      </c>
      <c r="D32" s="3">
        <v>5310</v>
      </c>
      <c r="E32" s="2">
        <v>46028</v>
      </c>
      <c r="F32">
        <f t="shared" ca="1" si="0"/>
        <v>207</v>
      </c>
      <c r="G32" s="3">
        <f t="shared" si="1"/>
        <v>7965</v>
      </c>
    </row>
    <row r="33" spans="1:7">
      <c r="A33" t="s">
        <v>16</v>
      </c>
      <c r="B33" t="s">
        <v>174</v>
      </c>
      <c r="C33" s="2">
        <v>46123</v>
      </c>
      <c r="D33" s="3">
        <v>1770</v>
      </c>
      <c r="E33" s="2">
        <v>46123</v>
      </c>
      <c r="F33">
        <f t="shared" ca="1" si="0"/>
        <v>112</v>
      </c>
      <c r="G33" s="3">
        <f t="shared" si="1"/>
        <v>7965</v>
      </c>
    </row>
    <row r="34" spans="1:7">
      <c r="A34" t="s">
        <v>17</v>
      </c>
      <c r="B34" t="s">
        <v>175</v>
      </c>
      <c r="C34" s="2">
        <v>46211</v>
      </c>
      <c r="D34" s="3">
        <v>15000</v>
      </c>
      <c r="E34" s="2">
        <v>46211</v>
      </c>
      <c r="F34">
        <f t="shared" ca="1" si="0"/>
        <v>24</v>
      </c>
      <c r="G34" s="3">
        <f t="shared" si="1"/>
        <v>17788</v>
      </c>
    </row>
    <row r="35" spans="1:7">
      <c r="A35" t="s">
        <v>17</v>
      </c>
      <c r="B35" t="s">
        <v>176</v>
      </c>
      <c r="C35" s="2">
        <v>46221</v>
      </c>
      <c r="D35" s="3">
        <v>2788</v>
      </c>
      <c r="E35" s="2">
        <v>46221</v>
      </c>
      <c r="F35">
        <f t="shared" ca="1" si="0"/>
        <v>14</v>
      </c>
      <c r="G35" s="3">
        <f t="shared" si="1"/>
        <v>17788</v>
      </c>
    </row>
    <row r="36" spans="1:7">
      <c r="A36" t="s">
        <v>18</v>
      </c>
      <c r="B36" t="s">
        <v>177</v>
      </c>
      <c r="C36" s="2">
        <v>46188</v>
      </c>
      <c r="D36" s="3">
        <v>3704</v>
      </c>
      <c r="E36" s="2">
        <v>46188</v>
      </c>
      <c r="F36">
        <f t="shared" ca="1" si="0"/>
        <v>47</v>
      </c>
      <c r="G36" s="3">
        <f t="shared" si="1"/>
        <v>12267</v>
      </c>
    </row>
    <row r="37" spans="1:7">
      <c r="A37" t="s">
        <v>18</v>
      </c>
      <c r="B37" t="s">
        <v>178</v>
      </c>
      <c r="C37" s="2">
        <v>46209</v>
      </c>
      <c r="D37" s="3">
        <v>2739</v>
      </c>
      <c r="E37" s="2">
        <v>46209</v>
      </c>
      <c r="F37">
        <f t="shared" ca="1" si="0"/>
        <v>26</v>
      </c>
      <c r="G37" s="3">
        <f t="shared" si="1"/>
        <v>12267</v>
      </c>
    </row>
    <row r="38" spans="1:7">
      <c r="A38" t="s">
        <v>18</v>
      </c>
      <c r="B38" t="s">
        <v>179</v>
      </c>
      <c r="C38" s="2">
        <v>46225</v>
      </c>
      <c r="D38" s="3">
        <v>3453</v>
      </c>
      <c r="E38" s="2">
        <v>46225</v>
      </c>
      <c r="F38">
        <f t="shared" ca="1" si="0"/>
        <v>10</v>
      </c>
      <c r="G38" s="3">
        <f t="shared" si="1"/>
        <v>12267</v>
      </c>
    </row>
    <row r="39" spans="1:7">
      <c r="A39" t="s">
        <v>18</v>
      </c>
      <c r="B39" t="s">
        <v>180</v>
      </c>
      <c r="C39" s="2">
        <v>46234</v>
      </c>
      <c r="D39" s="3">
        <v>2371</v>
      </c>
      <c r="E39" s="2">
        <v>46234</v>
      </c>
      <c r="F39">
        <f t="shared" ca="1" si="0"/>
        <v>1</v>
      </c>
      <c r="G39" s="3">
        <f t="shared" si="1"/>
        <v>12267</v>
      </c>
    </row>
    <row r="40" spans="1:7">
      <c r="A40" t="s">
        <v>19</v>
      </c>
      <c r="B40" t="s">
        <v>181</v>
      </c>
      <c r="C40" s="2">
        <v>46223</v>
      </c>
      <c r="D40" s="3">
        <v>5100</v>
      </c>
      <c r="E40" s="2">
        <v>46223</v>
      </c>
      <c r="F40">
        <f t="shared" ca="1" si="0"/>
        <v>12</v>
      </c>
      <c r="G40" s="3">
        <f t="shared" si="1"/>
        <v>51533</v>
      </c>
    </row>
    <row r="41" spans="1:7">
      <c r="A41" t="s">
        <v>19</v>
      </c>
      <c r="B41" t="s">
        <v>182</v>
      </c>
      <c r="C41" s="2">
        <v>46224</v>
      </c>
      <c r="D41" s="3">
        <v>8496</v>
      </c>
      <c r="E41" s="2">
        <v>46224</v>
      </c>
      <c r="F41">
        <f t="shared" ca="1" si="0"/>
        <v>11</v>
      </c>
      <c r="G41" s="3">
        <f t="shared" si="1"/>
        <v>51533</v>
      </c>
    </row>
    <row r="42" spans="1:7">
      <c r="A42" t="s">
        <v>19</v>
      </c>
      <c r="B42" t="s">
        <v>183</v>
      </c>
      <c r="C42" s="2">
        <v>46227</v>
      </c>
      <c r="D42" s="3">
        <v>37937</v>
      </c>
      <c r="E42" s="2">
        <v>46227</v>
      </c>
      <c r="F42">
        <f t="shared" ca="1" si="0"/>
        <v>8</v>
      </c>
      <c r="G42" s="3">
        <f t="shared" si="1"/>
        <v>51533</v>
      </c>
    </row>
    <row r="43" spans="1:7">
      <c r="A43" t="s">
        <v>20</v>
      </c>
      <c r="B43" t="s">
        <v>184</v>
      </c>
      <c r="C43" s="2">
        <v>46034</v>
      </c>
      <c r="D43" s="3">
        <v>2765</v>
      </c>
      <c r="E43" s="2">
        <v>46034</v>
      </c>
      <c r="F43">
        <f t="shared" ca="1" si="0"/>
        <v>201</v>
      </c>
      <c r="G43" s="3">
        <f t="shared" si="1"/>
        <v>10155</v>
      </c>
    </row>
    <row r="44" spans="1:7">
      <c r="A44" t="s">
        <v>20</v>
      </c>
      <c r="B44" t="s">
        <v>185</v>
      </c>
      <c r="C44" s="2">
        <v>46067</v>
      </c>
      <c r="D44" s="3">
        <v>1766</v>
      </c>
      <c r="E44" s="2">
        <v>46067</v>
      </c>
      <c r="F44">
        <f t="shared" ca="1" si="0"/>
        <v>168</v>
      </c>
      <c r="G44" s="3">
        <f t="shared" si="1"/>
        <v>10155</v>
      </c>
    </row>
    <row r="45" spans="1:7">
      <c r="A45" t="s">
        <v>20</v>
      </c>
      <c r="B45" t="s">
        <v>186</v>
      </c>
      <c r="C45" s="2">
        <v>46123</v>
      </c>
      <c r="D45" s="3">
        <v>2491</v>
      </c>
      <c r="E45" s="2">
        <v>46123</v>
      </c>
      <c r="F45">
        <f t="shared" ca="1" si="0"/>
        <v>112</v>
      </c>
      <c r="G45" s="3">
        <f t="shared" si="1"/>
        <v>10155</v>
      </c>
    </row>
    <row r="46" spans="1:7">
      <c r="A46" t="s">
        <v>20</v>
      </c>
      <c r="B46" t="s">
        <v>187</v>
      </c>
      <c r="C46" s="2">
        <v>46127</v>
      </c>
      <c r="D46" s="3">
        <v>1258</v>
      </c>
      <c r="E46" s="2">
        <v>46127</v>
      </c>
      <c r="F46">
        <f t="shared" ca="1" si="0"/>
        <v>108</v>
      </c>
      <c r="G46" s="3">
        <f t="shared" si="1"/>
        <v>10155</v>
      </c>
    </row>
    <row r="47" spans="1:7">
      <c r="A47" t="s">
        <v>20</v>
      </c>
      <c r="B47" t="s">
        <v>188</v>
      </c>
      <c r="C47" s="2">
        <v>46144</v>
      </c>
      <c r="D47" s="3">
        <v>730</v>
      </c>
      <c r="E47" s="2">
        <v>46144</v>
      </c>
      <c r="F47">
        <f t="shared" ca="1" si="0"/>
        <v>91</v>
      </c>
      <c r="G47" s="3">
        <f t="shared" si="1"/>
        <v>10155</v>
      </c>
    </row>
    <row r="48" spans="1:7">
      <c r="A48" t="s">
        <v>20</v>
      </c>
      <c r="B48" t="s">
        <v>189</v>
      </c>
      <c r="C48" s="2">
        <v>46156</v>
      </c>
      <c r="D48" s="3">
        <v>365</v>
      </c>
      <c r="E48" s="2">
        <v>46156</v>
      </c>
      <c r="F48">
        <f t="shared" ca="1" si="0"/>
        <v>79</v>
      </c>
      <c r="G48" s="3">
        <f t="shared" si="1"/>
        <v>10155</v>
      </c>
    </row>
    <row r="49" spans="1:7">
      <c r="A49" t="s">
        <v>20</v>
      </c>
      <c r="B49" t="s">
        <v>190</v>
      </c>
      <c r="C49" s="2">
        <v>46223</v>
      </c>
      <c r="D49" s="3">
        <v>780</v>
      </c>
      <c r="E49" s="2">
        <v>46223</v>
      </c>
      <c r="F49">
        <f t="shared" ca="1" si="0"/>
        <v>12</v>
      </c>
      <c r="G49" s="3">
        <f t="shared" si="1"/>
        <v>10155</v>
      </c>
    </row>
    <row r="50" spans="1:7">
      <c r="A50" t="s">
        <v>21</v>
      </c>
      <c r="B50" t="s">
        <v>191</v>
      </c>
      <c r="C50" s="2">
        <v>46120</v>
      </c>
      <c r="D50" s="3">
        <v>6138</v>
      </c>
      <c r="E50" s="2">
        <v>46120</v>
      </c>
      <c r="F50">
        <f t="shared" ca="1" si="0"/>
        <v>115</v>
      </c>
      <c r="G50" s="3">
        <f t="shared" si="1"/>
        <v>52708</v>
      </c>
    </row>
    <row r="51" spans="1:7">
      <c r="A51" t="s">
        <v>21</v>
      </c>
      <c r="B51" t="s">
        <v>192</v>
      </c>
      <c r="C51" s="2">
        <v>46213</v>
      </c>
      <c r="D51" s="3">
        <v>732</v>
      </c>
      <c r="E51" s="2">
        <v>46213</v>
      </c>
      <c r="F51">
        <f t="shared" ca="1" si="0"/>
        <v>22</v>
      </c>
      <c r="G51" s="3">
        <f t="shared" si="1"/>
        <v>52708</v>
      </c>
    </row>
    <row r="52" spans="1:7">
      <c r="A52" t="s">
        <v>21</v>
      </c>
      <c r="B52" t="s">
        <v>193</v>
      </c>
      <c r="C52" s="2">
        <v>46218</v>
      </c>
      <c r="D52" s="3">
        <v>23914</v>
      </c>
      <c r="E52" s="2">
        <v>46218</v>
      </c>
      <c r="F52">
        <f t="shared" ca="1" si="0"/>
        <v>17</v>
      </c>
      <c r="G52" s="3">
        <f t="shared" si="1"/>
        <v>52708</v>
      </c>
    </row>
    <row r="53" spans="1:7">
      <c r="A53" t="s">
        <v>21</v>
      </c>
      <c r="B53" t="s">
        <v>194</v>
      </c>
      <c r="C53" s="2">
        <v>46218</v>
      </c>
      <c r="D53" s="3">
        <v>7309</v>
      </c>
      <c r="E53" s="2">
        <v>46218</v>
      </c>
      <c r="F53">
        <f t="shared" ca="1" si="0"/>
        <v>17</v>
      </c>
      <c r="G53" s="3">
        <f t="shared" si="1"/>
        <v>52708</v>
      </c>
    </row>
    <row r="54" spans="1:7">
      <c r="A54" t="s">
        <v>21</v>
      </c>
      <c r="B54" t="s">
        <v>195</v>
      </c>
      <c r="C54" s="2">
        <v>46223</v>
      </c>
      <c r="D54" s="3">
        <v>2236</v>
      </c>
      <c r="E54" s="2">
        <v>46223</v>
      </c>
      <c r="F54">
        <f t="shared" ca="1" si="0"/>
        <v>12</v>
      </c>
      <c r="G54" s="3">
        <f t="shared" si="1"/>
        <v>52708</v>
      </c>
    </row>
    <row r="55" spans="1:7">
      <c r="A55" t="s">
        <v>21</v>
      </c>
      <c r="B55" t="s">
        <v>196</v>
      </c>
      <c r="C55" s="2">
        <v>46225</v>
      </c>
      <c r="D55" s="3">
        <v>4219</v>
      </c>
      <c r="E55" s="2">
        <v>46225</v>
      </c>
      <c r="F55">
        <f t="shared" ca="1" si="0"/>
        <v>10</v>
      </c>
      <c r="G55" s="3">
        <f t="shared" si="1"/>
        <v>52708</v>
      </c>
    </row>
    <row r="56" spans="1:7">
      <c r="A56" t="s">
        <v>21</v>
      </c>
      <c r="B56" t="s">
        <v>197</v>
      </c>
      <c r="C56" s="2">
        <v>46226</v>
      </c>
      <c r="D56" s="3">
        <v>6390</v>
      </c>
      <c r="E56" s="2">
        <v>46226</v>
      </c>
      <c r="F56">
        <f t="shared" ca="1" si="0"/>
        <v>9</v>
      </c>
      <c r="G56" s="3">
        <f t="shared" si="1"/>
        <v>52708</v>
      </c>
    </row>
    <row r="57" spans="1:7">
      <c r="A57" t="s">
        <v>21</v>
      </c>
      <c r="B57" t="s">
        <v>198</v>
      </c>
      <c r="C57" s="2">
        <v>46228</v>
      </c>
      <c r="D57" s="3">
        <v>1770</v>
      </c>
      <c r="E57" s="2">
        <v>46228</v>
      </c>
      <c r="F57">
        <f t="shared" ca="1" si="0"/>
        <v>7</v>
      </c>
      <c r="G57" s="3">
        <f t="shared" si="1"/>
        <v>52708</v>
      </c>
    </row>
    <row r="58" spans="1:7">
      <c r="A58" t="s">
        <v>22</v>
      </c>
      <c r="B58" t="s">
        <v>199</v>
      </c>
      <c r="C58" s="2">
        <v>46223</v>
      </c>
      <c r="D58" s="3">
        <v>354</v>
      </c>
      <c r="E58" s="2">
        <v>46223</v>
      </c>
      <c r="F58">
        <f t="shared" ca="1" si="0"/>
        <v>12</v>
      </c>
      <c r="G58" s="3">
        <f t="shared" si="1"/>
        <v>706</v>
      </c>
    </row>
    <row r="59" spans="1:7">
      <c r="A59" t="s">
        <v>22</v>
      </c>
      <c r="B59" t="s">
        <v>200</v>
      </c>
      <c r="C59" s="2">
        <v>46226</v>
      </c>
      <c r="D59" s="3">
        <v>116</v>
      </c>
      <c r="E59" s="2">
        <v>46226</v>
      </c>
      <c r="F59">
        <f t="shared" ca="1" si="0"/>
        <v>9</v>
      </c>
      <c r="G59" s="3">
        <f t="shared" si="1"/>
        <v>706</v>
      </c>
    </row>
    <row r="60" spans="1:7">
      <c r="A60" t="s">
        <v>22</v>
      </c>
      <c r="B60" t="s">
        <v>201</v>
      </c>
      <c r="C60" s="2">
        <v>46227</v>
      </c>
      <c r="D60" s="3">
        <v>236</v>
      </c>
      <c r="E60" s="2">
        <v>46227</v>
      </c>
      <c r="F60">
        <f t="shared" ca="1" si="0"/>
        <v>8</v>
      </c>
      <c r="G60" s="3">
        <f t="shared" si="1"/>
        <v>706</v>
      </c>
    </row>
    <row r="61" spans="1:7">
      <c r="A61" t="s">
        <v>23</v>
      </c>
      <c r="B61" t="s">
        <v>202</v>
      </c>
      <c r="C61" s="2">
        <v>46213</v>
      </c>
      <c r="D61" s="3">
        <v>1238</v>
      </c>
      <c r="E61" s="2">
        <v>46213</v>
      </c>
      <c r="F61">
        <f t="shared" ca="1" si="0"/>
        <v>22</v>
      </c>
      <c r="G61" s="3">
        <f t="shared" si="1"/>
        <v>1238</v>
      </c>
    </row>
    <row r="62" spans="1:7">
      <c r="A62" t="s">
        <v>24</v>
      </c>
      <c r="B62" t="s">
        <v>203</v>
      </c>
      <c r="C62" s="2">
        <v>46114</v>
      </c>
      <c r="D62" s="3">
        <v>12600</v>
      </c>
      <c r="E62" s="2">
        <v>46114</v>
      </c>
      <c r="F62">
        <f t="shared" ca="1" si="0"/>
        <v>121</v>
      </c>
      <c r="G62" s="3">
        <f t="shared" si="1"/>
        <v>41253</v>
      </c>
    </row>
    <row r="63" spans="1:7">
      <c r="A63" t="s">
        <v>24</v>
      </c>
      <c r="B63" t="s">
        <v>204</v>
      </c>
      <c r="C63" s="2">
        <v>46125</v>
      </c>
      <c r="D63" s="3">
        <v>4200</v>
      </c>
      <c r="E63" s="2">
        <v>46125</v>
      </c>
      <c r="F63">
        <f t="shared" ca="1" si="0"/>
        <v>110</v>
      </c>
      <c r="G63" s="3">
        <f t="shared" si="1"/>
        <v>41253</v>
      </c>
    </row>
    <row r="64" spans="1:7">
      <c r="A64" t="s">
        <v>24</v>
      </c>
      <c r="B64" t="s">
        <v>205</v>
      </c>
      <c r="C64" s="2">
        <v>46125</v>
      </c>
      <c r="D64" s="3">
        <v>4200</v>
      </c>
      <c r="E64" s="2">
        <v>46125</v>
      </c>
      <c r="F64">
        <f t="shared" ca="1" si="0"/>
        <v>110</v>
      </c>
      <c r="G64" s="3">
        <f t="shared" si="1"/>
        <v>41253</v>
      </c>
    </row>
    <row r="65" spans="1:7">
      <c r="A65" t="s">
        <v>24</v>
      </c>
      <c r="B65" t="s">
        <v>206</v>
      </c>
      <c r="C65" s="2">
        <v>46127</v>
      </c>
      <c r="D65" s="3">
        <v>180</v>
      </c>
      <c r="E65" s="2">
        <v>46127</v>
      </c>
      <c r="F65">
        <f t="shared" ca="1" si="0"/>
        <v>108</v>
      </c>
      <c r="G65" s="3">
        <f t="shared" si="1"/>
        <v>41253</v>
      </c>
    </row>
    <row r="66" spans="1:7">
      <c r="A66" t="s">
        <v>24</v>
      </c>
      <c r="B66" t="s">
        <v>207</v>
      </c>
      <c r="C66" s="2">
        <v>46127</v>
      </c>
      <c r="D66" s="3">
        <v>12600</v>
      </c>
      <c r="E66" s="2">
        <v>46127</v>
      </c>
      <c r="F66">
        <f t="shared" ca="1" si="0"/>
        <v>108</v>
      </c>
      <c r="G66" s="3">
        <f t="shared" si="1"/>
        <v>41253</v>
      </c>
    </row>
    <row r="67" spans="1:7">
      <c r="A67" t="s">
        <v>24</v>
      </c>
      <c r="B67" t="s">
        <v>208</v>
      </c>
      <c r="C67" s="2">
        <v>46128</v>
      </c>
      <c r="D67" s="3">
        <v>473</v>
      </c>
      <c r="E67" s="2">
        <v>46128</v>
      </c>
      <c r="F67">
        <f t="shared" ca="1" si="0"/>
        <v>107</v>
      </c>
      <c r="G67" s="3">
        <f t="shared" si="1"/>
        <v>41253</v>
      </c>
    </row>
    <row r="68" spans="1:7">
      <c r="A68" t="s">
        <v>24</v>
      </c>
      <c r="B68" t="s">
        <v>209</v>
      </c>
      <c r="C68" s="2">
        <v>46200</v>
      </c>
      <c r="D68" s="3">
        <v>7000</v>
      </c>
      <c r="E68" s="2">
        <v>46200</v>
      </c>
      <c r="F68">
        <f t="shared" ca="1" si="0"/>
        <v>35</v>
      </c>
      <c r="G68" s="3">
        <f t="shared" si="1"/>
        <v>41253</v>
      </c>
    </row>
    <row r="69" spans="1:7">
      <c r="A69" t="s">
        <v>25</v>
      </c>
      <c r="B69" t="s">
        <v>210</v>
      </c>
      <c r="C69" s="2">
        <v>46116</v>
      </c>
      <c r="D69" s="3">
        <v>933</v>
      </c>
      <c r="E69" s="2">
        <v>46116</v>
      </c>
      <c r="F69">
        <f t="shared" ref="F69:F132" ca="1" si="2">TODAY()-E69</f>
        <v>119</v>
      </c>
      <c r="G69" s="3">
        <f t="shared" ref="G69:G132" si="3">SUMIF($A$5:$A$563,A69,$D$5:$D$563)</f>
        <v>92608</v>
      </c>
    </row>
    <row r="70" spans="1:7">
      <c r="A70" t="s">
        <v>25</v>
      </c>
      <c r="B70" t="s">
        <v>211</v>
      </c>
      <c r="C70" s="2">
        <v>46122</v>
      </c>
      <c r="D70" s="3">
        <v>14318</v>
      </c>
      <c r="E70" s="2">
        <v>46122</v>
      </c>
      <c r="F70">
        <f t="shared" ca="1" si="2"/>
        <v>113</v>
      </c>
      <c r="G70" s="3">
        <f t="shared" si="3"/>
        <v>92608</v>
      </c>
    </row>
    <row r="71" spans="1:7">
      <c r="A71" t="s">
        <v>25</v>
      </c>
      <c r="B71" t="s">
        <v>212</v>
      </c>
      <c r="C71" s="2">
        <v>46137</v>
      </c>
      <c r="D71" s="3">
        <v>449</v>
      </c>
      <c r="E71" s="2">
        <v>46137</v>
      </c>
      <c r="F71">
        <f t="shared" ca="1" si="2"/>
        <v>98</v>
      </c>
      <c r="G71" s="3">
        <f t="shared" si="3"/>
        <v>92608</v>
      </c>
    </row>
    <row r="72" spans="1:7">
      <c r="A72" t="s">
        <v>25</v>
      </c>
      <c r="B72" t="s">
        <v>213</v>
      </c>
      <c r="C72" s="2">
        <v>46144</v>
      </c>
      <c r="D72" s="3">
        <v>2260</v>
      </c>
      <c r="E72" s="2">
        <v>46144</v>
      </c>
      <c r="F72">
        <f t="shared" ca="1" si="2"/>
        <v>91</v>
      </c>
      <c r="G72" s="3">
        <f t="shared" si="3"/>
        <v>92608</v>
      </c>
    </row>
    <row r="73" spans="1:7">
      <c r="A73" t="s">
        <v>25</v>
      </c>
      <c r="B73" t="s">
        <v>214</v>
      </c>
      <c r="C73" s="2">
        <v>46144</v>
      </c>
      <c r="D73" s="3">
        <v>7300</v>
      </c>
      <c r="E73" s="2">
        <v>46144</v>
      </c>
      <c r="F73">
        <f t="shared" ca="1" si="2"/>
        <v>91</v>
      </c>
      <c r="G73" s="3">
        <f t="shared" si="3"/>
        <v>92608</v>
      </c>
    </row>
    <row r="74" spans="1:7">
      <c r="A74" t="s">
        <v>25</v>
      </c>
      <c r="B74" t="s">
        <v>215</v>
      </c>
      <c r="C74" s="2">
        <v>46158</v>
      </c>
      <c r="D74" s="3">
        <v>6826</v>
      </c>
      <c r="E74" s="2">
        <v>46158</v>
      </c>
      <c r="F74">
        <f t="shared" ca="1" si="2"/>
        <v>77</v>
      </c>
      <c r="G74" s="3">
        <f t="shared" si="3"/>
        <v>92608</v>
      </c>
    </row>
    <row r="75" spans="1:7">
      <c r="A75" t="s">
        <v>25</v>
      </c>
      <c r="B75" t="s">
        <v>216</v>
      </c>
      <c r="C75" s="2">
        <v>46165</v>
      </c>
      <c r="D75" s="3">
        <v>7504</v>
      </c>
      <c r="E75" s="2">
        <v>46165</v>
      </c>
      <c r="F75">
        <f t="shared" ca="1" si="2"/>
        <v>70</v>
      </c>
      <c r="G75" s="3">
        <f t="shared" si="3"/>
        <v>92608</v>
      </c>
    </row>
    <row r="76" spans="1:7">
      <c r="A76" t="s">
        <v>25</v>
      </c>
      <c r="B76" t="s">
        <v>217</v>
      </c>
      <c r="C76" s="2">
        <v>46165</v>
      </c>
      <c r="D76" s="3">
        <v>7637</v>
      </c>
      <c r="E76" s="2">
        <v>46165</v>
      </c>
      <c r="F76">
        <f t="shared" ca="1" si="2"/>
        <v>70</v>
      </c>
      <c r="G76" s="3">
        <f t="shared" si="3"/>
        <v>92608</v>
      </c>
    </row>
    <row r="77" spans="1:7">
      <c r="A77" t="s">
        <v>25</v>
      </c>
      <c r="B77" t="s">
        <v>218</v>
      </c>
      <c r="C77" s="2">
        <v>46179</v>
      </c>
      <c r="D77" s="3">
        <v>450</v>
      </c>
      <c r="E77" s="2">
        <v>46179</v>
      </c>
      <c r="F77">
        <f t="shared" ca="1" si="2"/>
        <v>56</v>
      </c>
      <c r="G77" s="3">
        <f t="shared" si="3"/>
        <v>92608</v>
      </c>
    </row>
    <row r="78" spans="1:7">
      <c r="A78" t="s">
        <v>25</v>
      </c>
      <c r="B78" t="s">
        <v>219</v>
      </c>
      <c r="C78" s="2">
        <v>46181</v>
      </c>
      <c r="D78" s="3">
        <v>7130</v>
      </c>
      <c r="E78" s="2">
        <v>46181</v>
      </c>
      <c r="F78">
        <f t="shared" ca="1" si="2"/>
        <v>54</v>
      </c>
      <c r="G78" s="3">
        <f t="shared" si="3"/>
        <v>92608</v>
      </c>
    </row>
    <row r="79" spans="1:7">
      <c r="A79" t="s">
        <v>25</v>
      </c>
      <c r="B79" t="s">
        <v>220</v>
      </c>
      <c r="C79" s="2">
        <v>46186</v>
      </c>
      <c r="D79" s="3">
        <v>4416</v>
      </c>
      <c r="E79" s="2">
        <v>46186</v>
      </c>
      <c r="F79">
        <f t="shared" ca="1" si="2"/>
        <v>49</v>
      </c>
      <c r="G79" s="3">
        <f t="shared" si="3"/>
        <v>92608</v>
      </c>
    </row>
    <row r="80" spans="1:7">
      <c r="A80" t="s">
        <v>25</v>
      </c>
      <c r="B80" t="s">
        <v>221</v>
      </c>
      <c r="C80" s="2">
        <v>46207</v>
      </c>
      <c r="D80" s="3">
        <v>20425</v>
      </c>
      <c r="E80" s="2">
        <v>46207</v>
      </c>
      <c r="F80">
        <f t="shared" ca="1" si="2"/>
        <v>28</v>
      </c>
      <c r="G80" s="3">
        <f t="shared" si="3"/>
        <v>92608</v>
      </c>
    </row>
    <row r="81" spans="1:7">
      <c r="A81" t="s">
        <v>25</v>
      </c>
      <c r="B81" t="s">
        <v>222</v>
      </c>
      <c r="C81" s="2">
        <v>46214</v>
      </c>
      <c r="D81" s="3">
        <v>1500</v>
      </c>
      <c r="E81" s="2">
        <v>46214</v>
      </c>
      <c r="F81">
        <f t="shared" ca="1" si="2"/>
        <v>21</v>
      </c>
      <c r="G81" s="3">
        <f t="shared" si="3"/>
        <v>92608</v>
      </c>
    </row>
    <row r="82" spans="1:7">
      <c r="A82" t="s">
        <v>25</v>
      </c>
      <c r="B82" t="s">
        <v>223</v>
      </c>
      <c r="C82" s="2">
        <v>46221</v>
      </c>
      <c r="D82" s="3">
        <v>11095</v>
      </c>
      <c r="E82" s="2">
        <v>46221</v>
      </c>
      <c r="F82">
        <f t="shared" ca="1" si="2"/>
        <v>14</v>
      </c>
      <c r="G82" s="3">
        <f t="shared" si="3"/>
        <v>92608</v>
      </c>
    </row>
    <row r="83" spans="1:7">
      <c r="A83" t="s">
        <v>25</v>
      </c>
      <c r="B83" t="s">
        <v>224</v>
      </c>
      <c r="C83" s="2">
        <v>46235</v>
      </c>
      <c r="D83" s="3">
        <v>365</v>
      </c>
      <c r="E83" s="2">
        <v>46235</v>
      </c>
      <c r="F83">
        <f t="shared" ca="1" si="2"/>
        <v>0</v>
      </c>
      <c r="G83" s="3">
        <f t="shared" si="3"/>
        <v>92608</v>
      </c>
    </row>
    <row r="84" spans="1:7">
      <c r="A84" t="s">
        <v>26</v>
      </c>
      <c r="B84" t="s">
        <v>225</v>
      </c>
      <c r="C84" s="2">
        <v>46032</v>
      </c>
      <c r="D84" s="3">
        <v>972</v>
      </c>
      <c r="E84" s="2">
        <v>46032</v>
      </c>
      <c r="F84">
        <f t="shared" ca="1" si="2"/>
        <v>203</v>
      </c>
      <c r="G84" s="3">
        <f t="shared" si="3"/>
        <v>23286</v>
      </c>
    </row>
    <row r="85" spans="1:7">
      <c r="A85" t="s">
        <v>26</v>
      </c>
      <c r="B85" t="s">
        <v>226</v>
      </c>
      <c r="C85" s="2">
        <v>46053</v>
      </c>
      <c r="D85" s="3">
        <v>168</v>
      </c>
      <c r="E85" s="2">
        <v>46053</v>
      </c>
      <c r="F85">
        <f t="shared" ca="1" si="2"/>
        <v>182</v>
      </c>
      <c r="G85" s="3">
        <f t="shared" si="3"/>
        <v>23286</v>
      </c>
    </row>
    <row r="86" spans="1:7">
      <c r="A86" t="s">
        <v>26</v>
      </c>
      <c r="B86" t="s">
        <v>227</v>
      </c>
      <c r="C86" s="2">
        <v>46055</v>
      </c>
      <c r="D86" s="3">
        <v>588</v>
      </c>
      <c r="E86" s="2">
        <v>46055</v>
      </c>
      <c r="F86">
        <f t="shared" ca="1" si="2"/>
        <v>180</v>
      </c>
      <c r="G86" s="3">
        <f t="shared" si="3"/>
        <v>23286</v>
      </c>
    </row>
    <row r="87" spans="1:7">
      <c r="A87" t="s">
        <v>26</v>
      </c>
      <c r="B87" t="s">
        <v>228</v>
      </c>
      <c r="C87" s="2">
        <v>46074</v>
      </c>
      <c r="D87" s="3">
        <v>84</v>
      </c>
      <c r="E87" s="2">
        <v>46074</v>
      </c>
      <c r="F87">
        <f t="shared" ca="1" si="2"/>
        <v>161</v>
      </c>
      <c r="G87" s="3">
        <f t="shared" si="3"/>
        <v>23286</v>
      </c>
    </row>
    <row r="88" spans="1:7">
      <c r="A88" t="s">
        <v>26</v>
      </c>
      <c r="B88" t="s">
        <v>229</v>
      </c>
      <c r="C88" s="2">
        <v>46088</v>
      </c>
      <c r="D88" s="3">
        <v>1407</v>
      </c>
      <c r="E88" s="2">
        <v>46088</v>
      </c>
      <c r="F88">
        <f t="shared" ca="1" si="2"/>
        <v>147</v>
      </c>
      <c r="G88" s="3">
        <f t="shared" si="3"/>
        <v>23286</v>
      </c>
    </row>
    <row r="89" spans="1:7">
      <c r="A89" t="s">
        <v>26</v>
      </c>
      <c r="B89" t="s">
        <v>230</v>
      </c>
      <c r="C89" s="2">
        <v>46102</v>
      </c>
      <c r="D89" s="3">
        <v>840</v>
      </c>
      <c r="E89" s="2">
        <v>46102</v>
      </c>
      <c r="F89">
        <f t="shared" ca="1" si="2"/>
        <v>133</v>
      </c>
      <c r="G89" s="3">
        <f t="shared" si="3"/>
        <v>23286</v>
      </c>
    </row>
    <row r="90" spans="1:7">
      <c r="A90" t="s">
        <v>26</v>
      </c>
      <c r="B90" t="s">
        <v>231</v>
      </c>
      <c r="C90" s="2">
        <v>46109</v>
      </c>
      <c r="D90" s="3">
        <v>3574</v>
      </c>
      <c r="E90" s="2">
        <v>46109</v>
      </c>
      <c r="F90">
        <f t="shared" ca="1" si="2"/>
        <v>126</v>
      </c>
      <c r="G90" s="3">
        <f t="shared" si="3"/>
        <v>23286</v>
      </c>
    </row>
    <row r="91" spans="1:7">
      <c r="A91" t="s">
        <v>26</v>
      </c>
      <c r="B91" t="s">
        <v>232</v>
      </c>
      <c r="C91" s="2">
        <v>46137</v>
      </c>
      <c r="D91" s="3">
        <v>1726</v>
      </c>
      <c r="E91" s="2">
        <v>46137</v>
      </c>
      <c r="F91">
        <f t="shared" ca="1" si="2"/>
        <v>98</v>
      </c>
      <c r="G91" s="3">
        <f t="shared" si="3"/>
        <v>23286</v>
      </c>
    </row>
    <row r="92" spans="1:7">
      <c r="A92" t="s">
        <v>26</v>
      </c>
      <c r="B92" t="s">
        <v>233</v>
      </c>
      <c r="C92" s="2">
        <v>46168</v>
      </c>
      <c r="D92" s="3">
        <v>4847</v>
      </c>
      <c r="E92" s="2">
        <v>46168</v>
      </c>
      <c r="F92">
        <f t="shared" ca="1" si="2"/>
        <v>67</v>
      </c>
      <c r="G92" s="3">
        <f t="shared" si="3"/>
        <v>23286</v>
      </c>
    </row>
    <row r="93" spans="1:7">
      <c r="A93" t="s">
        <v>26</v>
      </c>
      <c r="B93" t="s">
        <v>234</v>
      </c>
      <c r="C93" s="2">
        <v>46199</v>
      </c>
      <c r="D93" s="3">
        <v>4511</v>
      </c>
      <c r="E93" s="2">
        <v>46199</v>
      </c>
      <c r="F93">
        <f t="shared" ca="1" si="2"/>
        <v>36</v>
      </c>
      <c r="G93" s="3">
        <f t="shared" si="3"/>
        <v>23286</v>
      </c>
    </row>
    <row r="94" spans="1:7">
      <c r="A94" t="s">
        <v>26</v>
      </c>
      <c r="B94" t="s">
        <v>235</v>
      </c>
      <c r="C94" s="2">
        <v>46200</v>
      </c>
      <c r="D94" s="3">
        <v>883</v>
      </c>
      <c r="E94" s="2">
        <v>46200</v>
      </c>
      <c r="F94">
        <f t="shared" ca="1" si="2"/>
        <v>35</v>
      </c>
      <c r="G94" s="3">
        <f t="shared" si="3"/>
        <v>23286</v>
      </c>
    </row>
    <row r="95" spans="1:7">
      <c r="A95" t="s">
        <v>26</v>
      </c>
      <c r="B95" t="s">
        <v>236</v>
      </c>
      <c r="C95" s="2">
        <v>46213</v>
      </c>
      <c r="D95" s="3">
        <v>3300</v>
      </c>
      <c r="E95" s="2">
        <v>46213</v>
      </c>
      <c r="F95">
        <f t="shared" ca="1" si="2"/>
        <v>22</v>
      </c>
      <c r="G95" s="3">
        <f t="shared" si="3"/>
        <v>23286</v>
      </c>
    </row>
    <row r="96" spans="1:7">
      <c r="A96" t="s">
        <v>26</v>
      </c>
      <c r="B96" t="s">
        <v>237</v>
      </c>
      <c r="C96" s="2">
        <v>46231</v>
      </c>
      <c r="D96" s="3">
        <v>386</v>
      </c>
      <c r="E96" s="2">
        <v>46231</v>
      </c>
      <c r="F96">
        <f t="shared" ca="1" si="2"/>
        <v>4</v>
      </c>
      <c r="G96" s="3">
        <f t="shared" si="3"/>
        <v>23286</v>
      </c>
    </row>
    <row r="97" spans="1:7">
      <c r="A97" t="s">
        <v>27</v>
      </c>
      <c r="B97" t="s">
        <v>238</v>
      </c>
      <c r="C97" s="2">
        <v>46158</v>
      </c>
      <c r="D97" s="3">
        <v>29174</v>
      </c>
      <c r="E97" s="2">
        <v>46158</v>
      </c>
      <c r="F97">
        <f t="shared" ca="1" si="2"/>
        <v>77</v>
      </c>
      <c r="G97" s="3">
        <f t="shared" si="3"/>
        <v>66140</v>
      </c>
    </row>
    <row r="98" spans="1:7">
      <c r="A98" t="s">
        <v>27</v>
      </c>
      <c r="B98" t="s">
        <v>239</v>
      </c>
      <c r="C98" s="2">
        <v>46165</v>
      </c>
      <c r="D98" s="3">
        <v>231</v>
      </c>
      <c r="E98" s="2">
        <v>46165</v>
      </c>
      <c r="F98">
        <f t="shared" ca="1" si="2"/>
        <v>70</v>
      </c>
      <c r="G98" s="3">
        <f t="shared" si="3"/>
        <v>66140</v>
      </c>
    </row>
    <row r="99" spans="1:7">
      <c r="A99" t="s">
        <v>27</v>
      </c>
      <c r="B99" t="s">
        <v>240</v>
      </c>
      <c r="C99" s="2">
        <v>46172</v>
      </c>
      <c r="D99" s="3">
        <v>24194</v>
      </c>
      <c r="E99" s="2">
        <v>46172</v>
      </c>
      <c r="F99">
        <f t="shared" ca="1" si="2"/>
        <v>63</v>
      </c>
      <c r="G99" s="3">
        <f t="shared" si="3"/>
        <v>66140</v>
      </c>
    </row>
    <row r="100" spans="1:7">
      <c r="A100" t="s">
        <v>27</v>
      </c>
      <c r="B100" t="s">
        <v>241</v>
      </c>
      <c r="C100" s="2">
        <v>46179</v>
      </c>
      <c r="D100" s="3">
        <v>830</v>
      </c>
      <c r="E100" s="2">
        <v>46179</v>
      </c>
      <c r="F100">
        <f t="shared" ca="1" si="2"/>
        <v>56</v>
      </c>
      <c r="G100" s="3">
        <f t="shared" si="3"/>
        <v>66140</v>
      </c>
    </row>
    <row r="101" spans="1:7">
      <c r="A101" t="s">
        <v>27</v>
      </c>
      <c r="B101" t="s">
        <v>242</v>
      </c>
      <c r="C101" s="2">
        <v>46186</v>
      </c>
      <c r="D101" s="3">
        <v>1350</v>
      </c>
      <c r="E101" s="2">
        <v>46186</v>
      </c>
      <c r="F101">
        <f t="shared" ca="1" si="2"/>
        <v>49</v>
      </c>
      <c r="G101" s="3">
        <f t="shared" si="3"/>
        <v>66140</v>
      </c>
    </row>
    <row r="102" spans="1:7">
      <c r="A102" t="s">
        <v>27</v>
      </c>
      <c r="B102" t="s">
        <v>243</v>
      </c>
      <c r="C102" s="2">
        <v>46200</v>
      </c>
      <c r="D102" s="3">
        <v>4725</v>
      </c>
      <c r="E102" s="2">
        <v>46200</v>
      </c>
      <c r="F102">
        <f t="shared" ca="1" si="2"/>
        <v>35</v>
      </c>
      <c r="G102" s="3">
        <f t="shared" si="3"/>
        <v>66140</v>
      </c>
    </row>
    <row r="103" spans="1:7">
      <c r="A103" t="s">
        <v>27</v>
      </c>
      <c r="B103" t="s">
        <v>244</v>
      </c>
      <c r="C103" s="2">
        <v>46207</v>
      </c>
      <c r="D103" s="3">
        <v>991</v>
      </c>
      <c r="E103" s="2">
        <v>46207</v>
      </c>
      <c r="F103">
        <f t="shared" ca="1" si="2"/>
        <v>28</v>
      </c>
      <c r="G103" s="3">
        <f t="shared" si="3"/>
        <v>66140</v>
      </c>
    </row>
    <row r="104" spans="1:7">
      <c r="A104" t="s">
        <v>27</v>
      </c>
      <c r="B104" t="s">
        <v>245</v>
      </c>
      <c r="C104" s="2">
        <v>46221</v>
      </c>
      <c r="D104" s="3">
        <v>1910</v>
      </c>
      <c r="E104" s="2">
        <v>46221</v>
      </c>
      <c r="F104">
        <f t="shared" ca="1" si="2"/>
        <v>14</v>
      </c>
      <c r="G104" s="3">
        <f t="shared" si="3"/>
        <v>66140</v>
      </c>
    </row>
    <row r="105" spans="1:7">
      <c r="A105" t="s">
        <v>27</v>
      </c>
      <c r="B105" t="s">
        <v>246</v>
      </c>
      <c r="C105" s="2">
        <v>46228</v>
      </c>
      <c r="D105" s="3">
        <v>1875</v>
      </c>
      <c r="E105" s="2">
        <v>46228</v>
      </c>
      <c r="F105">
        <f t="shared" ca="1" si="2"/>
        <v>7</v>
      </c>
      <c r="G105" s="3">
        <f t="shared" si="3"/>
        <v>66140</v>
      </c>
    </row>
    <row r="106" spans="1:7">
      <c r="A106" t="s">
        <v>27</v>
      </c>
      <c r="B106" t="s">
        <v>247</v>
      </c>
      <c r="C106" s="2">
        <v>46235</v>
      </c>
      <c r="D106" s="3">
        <v>860</v>
      </c>
      <c r="E106" s="2">
        <v>46235</v>
      </c>
      <c r="F106">
        <f t="shared" ca="1" si="2"/>
        <v>0</v>
      </c>
      <c r="G106" s="3">
        <f t="shared" si="3"/>
        <v>66140</v>
      </c>
    </row>
    <row r="107" spans="1:7">
      <c r="A107" t="s">
        <v>28</v>
      </c>
      <c r="B107" t="s">
        <v>248</v>
      </c>
      <c r="C107" s="2">
        <v>46231</v>
      </c>
      <c r="D107" s="3">
        <v>1711</v>
      </c>
      <c r="E107" s="2">
        <v>46231</v>
      </c>
      <c r="F107">
        <f t="shared" ca="1" si="2"/>
        <v>4</v>
      </c>
      <c r="G107" s="3">
        <f t="shared" si="3"/>
        <v>1711</v>
      </c>
    </row>
    <row r="108" spans="1:7">
      <c r="A108" t="s">
        <v>29</v>
      </c>
      <c r="B108" t="s">
        <v>249</v>
      </c>
      <c r="C108" s="2">
        <v>46172</v>
      </c>
      <c r="D108" s="3">
        <v>1576</v>
      </c>
      <c r="E108" s="2">
        <v>46172</v>
      </c>
      <c r="F108">
        <f t="shared" ca="1" si="2"/>
        <v>63</v>
      </c>
      <c r="G108" s="3">
        <f t="shared" si="3"/>
        <v>6000</v>
      </c>
    </row>
    <row r="109" spans="1:7">
      <c r="A109" t="s">
        <v>29</v>
      </c>
      <c r="B109" t="s">
        <v>250</v>
      </c>
      <c r="C109" s="2">
        <v>46179</v>
      </c>
      <c r="D109" s="3">
        <v>1374</v>
      </c>
      <c r="E109" s="2">
        <v>46179</v>
      </c>
      <c r="F109">
        <f t="shared" ca="1" si="2"/>
        <v>56</v>
      </c>
      <c r="G109" s="3">
        <f t="shared" si="3"/>
        <v>6000</v>
      </c>
    </row>
    <row r="110" spans="1:7">
      <c r="A110" t="s">
        <v>29</v>
      </c>
      <c r="B110" t="s">
        <v>251</v>
      </c>
      <c r="C110" s="2">
        <v>46183</v>
      </c>
      <c r="D110" s="3">
        <v>1500</v>
      </c>
      <c r="E110" s="2">
        <v>46183</v>
      </c>
      <c r="F110">
        <f t="shared" ca="1" si="2"/>
        <v>52</v>
      </c>
      <c r="G110" s="3">
        <f t="shared" si="3"/>
        <v>6000</v>
      </c>
    </row>
    <row r="111" spans="1:7">
      <c r="A111" t="s">
        <v>29</v>
      </c>
      <c r="B111" t="s">
        <v>252</v>
      </c>
      <c r="C111" s="2">
        <v>46186</v>
      </c>
      <c r="D111" s="3">
        <v>882</v>
      </c>
      <c r="E111" s="2">
        <v>46186</v>
      </c>
      <c r="F111">
        <f t="shared" ca="1" si="2"/>
        <v>49</v>
      </c>
      <c r="G111" s="3">
        <f t="shared" si="3"/>
        <v>6000</v>
      </c>
    </row>
    <row r="112" spans="1:7">
      <c r="A112" t="s">
        <v>29</v>
      </c>
      <c r="B112" t="s">
        <v>253</v>
      </c>
      <c r="C112" s="2">
        <v>46221</v>
      </c>
      <c r="D112" s="3">
        <v>668</v>
      </c>
      <c r="E112" s="2">
        <v>46221</v>
      </c>
      <c r="F112">
        <f t="shared" ca="1" si="2"/>
        <v>14</v>
      </c>
      <c r="G112" s="3">
        <f t="shared" si="3"/>
        <v>6000</v>
      </c>
    </row>
    <row r="113" spans="1:7">
      <c r="A113" t="s">
        <v>30</v>
      </c>
      <c r="B113" t="s">
        <v>254</v>
      </c>
      <c r="C113" s="2">
        <v>46046</v>
      </c>
      <c r="D113" s="3">
        <v>11924</v>
      </c>
      <c r="E113" s="2">
        <v>46046</v>
      </c>
      <c r="F113">
        <f t="shared" ca="1" si="2"/>
        <v>189</v>
      </c>
      <c r="G113" s="3">
        <f t="shared" si="3"/>
        <v>238111</v>
      </c>
    </row>
    <row r="114" spans="1:7">
      <c r="A114" t="s">
        <v>30</v>
      </c>
      <c r="B114" t="s">
        <v>255</v>
      </c>
      <c r="C114" s="2">
        <v>46052</v>
      </c>
      <c r="D114" s="3">
        <v>12000</v>
      </c>
      <c r="E114" s="2">
        <v>46052</v>
      </c>
      <c r="F114">
        <f t="shared" ca="1" si="2"/>
        <v>183</v>
      </c>
      <c r="G114" s="3">
        <f t="shared" si="3"/>
        <v>238111</v>
      </c>
    </row>
    <row r="115" spans="1:7">
      <c r="A115" t="s">
        <v>30</v>
      </c>
      <c r="B115" t="s">
        <v>256</v>
      </c>
      <c r="C115" s="2">
        <v>46067</v>
      </c>
      <c r="D115" s="3">
        <v>8000</v>
      </c>
      <c r="E115" s="2">
        <v>46067</v>
      </c>
      <c r="F115">
        <f t="shared" ca="1" si="2"/>
        <v>168</v>
      </c>
      <c r="G115" s="3">
        <f t="shared" si="3"/>
        <v>238111</v>
      </c>
    </row>
    <row r="116" spans="1:7">
      <c r="A116" t="s">
        <v>30</v>
      </c>
      <c r="B116" t="s">
        <v>257</v>
      </c>
      <c r="C116" s="2">
        <v>46081</v>
      </c>
      <c r="D116" s="3">
        <v>2360</v>
      </c>
      <c r="E116" s="2">
        <v>46081</v>
      </c>
      <c r="F116">
        <f t="shared" ca="1" si="2"/>
        <v>154</v>
      </c>
      <c r="G116" s="3">
        <f t="shared" si="3"/>
        <v>238111</v>
      </c>
    </row>
    <row r="117" spans="1:7">
      <c r="A117" t="s">
        <v>30</v>
      </c>
      <c r="B117" t="s">
        <v>258</v>
      </c>
      <c r="C117" s="2">
        <v>46085</v>
      </c>
      <c r="D117" s="3">
        <v>17037</v>
      </c>
      <c r="E117" s="2">
        <v>46085</v>
      </c>
      <c r="F117">
        <f t="shared" ca="1" si="2"/>
        <v>150</v>
      </c>
      <c r="G117" s="3">
        <f t="shared" si="3"/>
        <v>238111</v>
      </c>
    </row>
    <row r="118" spans="1:7">
      <c r="A118" t="s">
        <v>30</v>
      </c>
      <c r="B118" t="s">
        <v>259</v>
      </c>
      <c r="C118" s="2">
        <v>46086</v>
      </c>
      <c r="D118" s="3">
        <v>2107</v>
      </c>
      <c r="E118" s="2">
        <v>46086</v>
      </c>
      <c r="F118">
        <f t="shared" ca="1" si="2"/>
        <v>149</v>
      </c>
      <c r="G118" s="3">
        <f t="shared" si="3"/>
        <v>238111</v>
      </c>
    </row>
    <row r="119" spans="1:7">
      <c r="A119" t="s">
        <v>30</v>
      </c>
      <c r="B119" t="s">
        <v>260</v>
      </c>
      <c r="C119" s="2">
        <v>46095</v>
      </c>
      <c r="D119" s="3">
        <v>2385</v>
      </c>
      <c r="E119" s="2">
        <v>46095</v>
      </c>
      <c r="F119">
        <f t="shared" ca="1" si="2"/>
        <v>140</v>
      </c>
      <c r="G119" s="3">
        <f t="shared" si="3"/>
        <v>238111</v>
      </c>
    </row>
    <row r="120" spans="1:7">
      <c r="A120" t="s">
        <v>30</v>
      </c>
      <c r="B120" t="s">
        <v>261</v>
      </c>
      <c r="C120" s="2">
        <v>46102</v>
      </c>
      <c r="D120" s="3">
        <v>10000</v>
      </c>
      <c r="E120" s="2">
        <v>46102</v>
      </c>
      <c r="F120">
        <f t="shared" ca="1" si="2"/>
        <v>133</v>
      </c>
      <c r="G120" s="3">
        <f t="shared" si="3"/>
        <v>238111</v>
      </c>
    </row>
    <row r="121" spans="1:7">
      <c r="A121" t="s">
        <v>30</v>
      </c>
      <c r="B121" t="s">
        <v>262</v>
      </c>
      <c r="C121" s="2">
        <v>46116</v>
      </c>
      <c r="D121" s="3">
        <v>2640</v>
      </c>
      <c r="E121" s="2">
        <v>46116</v>
      </c>
      <c r="F121">
        <f t="shared" ca="1" si="2"/>
        <v>119</v>
      </c>
      <c r="G121" s="3">
        <f t="shared" si="3"/>
        <v>238111</v>
      </c>
    </row>
    <row r="122" spans="1:7">
      <c r="A122" t="s">
        <v>30</v>
      </c>
      <c r="B122" t="s">
        <v>263</v>
      </c>
      <c r="C122" s="2">
        <v>46118</v>
      </c>
      <c r="D122" s="3">
        <v>4400</v>
      </c>
      <c r="E122" s="2">
        <v>46118</v>
      </c>
      <c r="F122">
        <f t="shared" ca="1" si="2"/>
        <v>117</v>
      </c>
      <c r="G122" s="3">
        <f t="shared" si="3"/>
        <v>238111</v>
      </c>
    </row>
    <row r="123" spans="1:7">
      <c r="A123" t="s">
        <v>30</v>
      </c>
      <c r="B123" t="s">
        <v>264</v>
      </c>
      <c r="C123" s="2">
        <v>46123</v>
      </c>
      <c r="D123" s="3">
        <v>10900</v>
      </c>
      <c r="E123" s="2">
        <v>46123</v>
      </c>
      <c r="F123">
        <f t="shared" ca="1" si="2"/>
        <v>112</v>
      </c>
      <c r="G123" s="3">
        <f t="shared" si="3"/>
        <v>238111</v>
      </c>
    </row>
    <row r="124" spans="1:7">
      <c r="A124" t="s">
        <v>30</v>
      </c>
      <c r="B124" t="s">
        <v>265</v>
      </c>
      <c r="C124" s="2">
        <v>46137</v>
      </c>
      <c r="D124" s="3">
        <v>7949</v>
      </c>
      <c r="E124" s="2">
        <v>46137</v>
      </c>
      <c r="F124">
        <f t="shared" ca="1" si="2"/>
        <v>98</v>
      </c>
      <c r="G124" s="3">
        <f t="shared" si="3"/>
        <v>238111</v>
      </c>
    </row>
    <row r="125" spans="1:7">
      <c r="A125" t="s">
        <v>30</v>
      </c>
      <c r="B125" t="s">
        <v>266</v>
      </c>
      <c r="C125" s="2">
        <v>46137</v>
      </c>
      <c r="D125" s="3">
        <v>30000</v>
      </c>
      <c r="E125" s="2">
        <v>46137</v>
      </c>
      <c r="F125">
        <f t="shared" ca="1" si="2"/>
        <v>98</v>
      </c>
      <c r="G125" s="3">
        <f t="shared" si="3"/>
        <v>238111</v>
      </c>
    </row>
    <row r="126" spans="1:7">
      <c r="A126" t="s">
        <v>30</v>
      </c>
      <c r="B126" t="s">
        <v>267</v>
      </c>
      <c r="C126" s="2">
        <v>46144</v>
      </c>
      <c r="D126" s="3">
        <v>16750</v>
      </c>
      <c r="E126" s="2">
        <v>46144</v>
      </c>
      <c r="F126">
        <f t="shared" ca="1" si="2"/>
        <v>91</v>
      </c>
      <c r="G126" s="3">
        <f t="shared" si="3"/>
        <v>238111</v>
      </c>
    </row>
    <row r="127" spans="1:7">
      <c r="A127" t="s">
        <v>30</v>
      </c>
      <c r="B127" t="s">
        <v>268</v>
      </c>
      <c r="C127" s="2">
        <v>46151</v>
      </c>
      <c r="D127" s="3">
        <v>27598</v>
      </c>
      <c r="E127" s="2">
        <v>46151</v>
      </c>
      <c r="F127">
        <f t="shared" ca="1" si="2"/>
        <v>84</v>
      </c>
      <c r="G127" s="3">
        <f t="shared" si="3"/>
        <v>238111</v>
      </c>
    </row>
    <row r="128" spans="1:7">
      <c r="A128" t="s">
        <v>30</v>
      </c>
      <c r="B128" t="s">
        <v>269</v>
      </c>
      <c r="C128" s="2">
        <v>46156</v>
      </c>
      <c r="D128" s="3">
        <v>14599</v>
      </c>
      <c r="E128" s="2">
        <v>46156</v>
      </c>
      <c r="F128">
        <f t="shared" ca="1" si="2"/>
        <v>79</v>
      </c>
      <c r="G128" s="3">
        <f t="shared" si="3"/>
        <v>238111</v>
      </c>
    </row>
    <row r="129" spans="1:7">
      <c r="A129" t="s">
        <v>30</v>
      </c>
      <c r="B129" t="s">
        <v>270</v>
      </c>
      <c r="C129" s="2">
        <v>46157</v>
      </c>
      <c r="D129" s="3">
        <v>10000</v>
      </c>
      <c r="E129" s="2">
        <v>46157</v>
      </c>
      <c r="F129">
        <f t="shared" ca="1" si="2"/>
        <v>78</v>
      </c>
      <c r="G129" s="3">
        <f t="shared" si="3"/>
        <v>238111</v>
      </c>
    </row>
    <row r="130" spans="1:7">
      <c r="A130" t="s">
        <v>30</v>
      </c>
      <c r="B130" t="s">
        <v>271</v>
      </c>
      <c r="C130" s="2">
        <v>46160</v>
      </c>
      <c r="D130" s="3">
        <v>8400</v>
      </c>
      <c r="E130" s="2">
        <v>46160</v>
      </c>
      <c r="F130">
        <f t="shared" ca="1" si="2"/>
        <v>75</v>
      </c>
      <c r="G130" s="3">
        <f t="shared" si="3"/>
        <v>238111</v>
      </c>
    </row>
    <row r="131" spans="1:7">
      <c r="A131" t="s">
        <v>30</v>
      </c>
      <c r="B131" t="s">
        <v>272</v>
      </c>
      <c r="C131" s="2">
        <v>46165</v>
      </c>
      <c r="D131" s="3">
        <v>1550</v>
      </c>
      <c r="E131" s="2">
        <v>46165</v>
      </c>
      <c r="F131">
        <f t="shared" ca="1" si="2"/>
        <v>70</v>
      </c>
      <c r="G131" s="3">
        <f t="shared" si="3"/>
        <v>238111</v>
      </c>
    </row>
    <row r="132" spans="1:7">
      <c r="A132" t="s">
        <v>30</v>
      </c>
      <c r="B132" t="s">
        <v>273</v>
      </c>
      <c r="C132" s="2">
        <v>46172</v>
      </c>
      <c r="D132" s="3">
        <v>2107</v>
      </c>
      <c r="E132" s="2">
        <v>46172</v>
      </c>
      <c r="F132">
        <f t="shared" ca="1" si="2"/>
        <v>63</v>
      </c>
      <c r="G132" s="3">
        <f t="shared" si="3"/>
        <v>238111</v>
      </c>
    </row>
    <row r="133" spans="1:7">
      <c r="A133" t="s">
        <v>30</v>
      </c>
      <c r="B133" t="s">
        <v>274</v>
      </c>
      <c r="C133" s="2">
        <v>46186</v>
      </c>
      <c r="D133" s="3">
        <v>13800</v>
      </c>
      <c r="E133" s="2">
        <v>46186</v>
      </c>
      <c r="F133">
        <f t="shared" ref="F133:F196" ca="1" si="4">TODAY()-E133</f>
        <v>49</v>
      </c>
      <c r="G133" s="3">
        <f t="shared" ref="G133:G196" si="5">SUMIF($A$5:$A$563,A133,$D$5:$D$563)</f>
        <v>238111</v>
      </c>
    </row>
    <row r="134" spans="1:7">
      <c r="A134" t="s">
        <v>30</v>
      </c>
      <c r="B134" t="s">
        <v>275</v>
      </c>
      <c r="C134" s="2">
        <v>46200</v>
      </c>
      <c r="D134" s="3">
        <v>1133</v>
      </c>
      <c r="E134" s="2">
        <v>46200</v>
      </c>
      <c r="F134">
        <f t="shared" ca="1" si="4"/>
        <v>35</v>
      </c>
      <c r="G134" s="3">
        <f t="shared" si="5"/>
        <v>238111</v>
      </c>
    </row>
    <row r="135" spans="1:7">
      <c r="A135" t="s">
        <v>30</v>
      </c>
      <c r="B135" t="s">
        <v>276</v>
      </c>
      <c r="C135" s="2">
        <v>46207</v>
      </c>
      <c r="D135" s="3">
        <v>1590</v>
      </c>
      <c r="E135" s="2">
        <v>46207</v>
      </c>
      <c r="F135">
        <f t="shared" ca="1" si="4"/>
        <v>28</v>
      </c>
      <c r="G135" s="3">
        <f t="shared" si="5"/>
        <v>238111</v>
      </c>
    </row>
    <row r="136" spans="1:7">
      <c r="A136" t="s">
        <v>30</v>
      </c>
      <c r="B136" t="s">
        <v>277</v>
      </c>
      <c r="C136" s="2">
        <v>46216</v>
      </c>
      <c r="D136" s="3">
        <v>8400</v>
      </c>
      <c r="E136" s="2">
        <v>46216</v>
      </c>
      <c r="F136">
        <f t="shared" ca="1" si="4"/>
        <v>19</v>
      </c>
      <c r="G136" s="3">
        <f t="shared" si="5"/>
        <v>238111</v>
      </c>
    </row>
    <row r="137" spans="1:7">
      <c r="A137" t="s">
        <v>30</v>
      </c>
      <c r="B137" t="s">
        <v>278</v>
      </c>
      <c r="C137" s="2">
        <v>46221</v>
      </c>
      <c r="D137" s="3">
        <v>1804</v>
      </c>
      <c r="E137" s="2">
        <v>46221</v>
      </c>
      <c r="F137">
        <f t="shared" ca="1" si="4"/>
        <v>14</v>
      </c>
      <c r="G137" s="3">
        <f t="shared" si="5"/>
        <v>238111</v>
      </c>
    </row>
    <row r="138" spans="1:7">
      <c r="A138" t="s">
        <v>30</v>
      </c>
      <c r="B138" t="s">
        <v>279</v>
      </c>
      <c r="C138" s="2">
        <v>46228</v>
      </c>
      <c r="D138" s="3">
        <v>5145</v>
      </c>
      <c r="E138" s="2">
        <v>46228</v>
      </c>
      <c r="F138">
        <f t="shared" ca="1" si="4"/>
        <v>7</v>
      </c>
      <c r="G138" s="3">
        <f t="shared" si="5"/>
        <v>238111</v>
      </c>
    </row>
    <row r="139" spans="1:7">
      <c r="A139" t="s">
        <v>30</v>
      </c>
      <c r="B139" t="s">
        <v>280</v>
      </c>
      <c r="C139" s="2">
        <v>46235</v>
      </c>
      <c r="D139" s="3">
        <v>3533</v>
      </c>
      <c r="E139" s="2">
        <v>46235</v>
      </c>
      <c r="F139">
        <f t="shared" ca="1" si="4"/>
        <v>0</v>
      </c>
      <c r="G139" s="3">
        <f t="shared" si="5"/>
        <v>238111</v>
      </c>
    </row>
    <row r="140" spans="1:7">
      <c r="A140" t="s">
        <v>31</v>
      </c>
      <c r="B140" t="s">
        <v>281</v>
      </c>
      <c r="C140" s="2">
        <v>46217</v>
      </c>
      <c r="D140" s="3">
        <v>899</v>
      </c>
      <c r="E140" s="2">
        <v>46217</v>
      </c>
      <c r="F140">
        <f t="shared" ca="1" si="4"/>
        <v>18</v>
      </c>
      <c r="G140" s="3">
        <f t="shared" si="5"/>
        <v>899</v>
      </c>
    </row>
    <row r="141" spans="1:7">
      <c r="A141" t="s">
        <v>32</v>
      </c>
      <c r="B141" t="s">
        <v>282</v>
      </c>
      <c r="C141" s="2">
        <v>46128</v>
      </c>
      <c r="D141" s="3">
        <v>1127</v>
      </c>
      <c r="E141" s="2">
        <v>46128</v>
      </c>
      <c r="F141">
        <f t="shared" ca="1" si="4"/>
        <v>107</v>
      </c>
      <c r="G141" s="3">
        <f t="shared" si="5"/>
        <v>2464</v>
      </c>
    </row>
    <row r="142" spans="1:7">
      <c r="A142" t="s">
        <v>32</v>
      </c>
      <c r="B142" t="s">
        <v>283</v>
      </c>
      <c r="C142" s="2">
        <v>46150</v>
      </c>
      <c r="D142" s="3">
        <v>1112</v>
      </c>
      <c r="E142" s="2">
        <v>46150</v>
      </c>
      <c r="F142">
        <f t="shared" ca="1" si="4"/>
        <v>85</v>
      </c>
      <c r="G142" s="3">
        <f t="shared" si="5"/>
        <v>2464</v>
      </c>
    </row>
    <row r="143" spans="1:7">
      <c r="A143" t="s">
        <v>32</v>
      </c>
      <c r="B143" t="s">
        <v>284</v>
      </c>
      <c r="C143" s="2">
        <v>46156</v>
      </c>
      <c r="D143" s="3">
        <v>225</v>
      </c>
      <c r="E143" s="2">
        <v>46156</v>
      </c>
      <c r="F143">
        <f t="shared" ca="1" si="4"/>
        <v>79</v>
      </c>
      <c r="G143" s="3">
        <f t="shared" si="5"/>
        <v>2464</v>
      </c>
    </row>
    <row r="144" spans="1:7">
      <c r="A144" t="s">
        <v>33</v>
      </c>
      <c r="B144" t="s">
        <v>285</v>
      </c>
      <c r="C144" s="2">
        <v>46186</v>
      </c>
      <c r="D144" s="3">
        <v>1700</v>
      </c>
      <c r="E144" s="2">
        <v>46186</v>
      </c>
      <c r="F144">
        <f t="shared" ca="1" si="4"/>
        <v>49</v>
      </c>
      <c r="G144" s="3">
        <f t="shared" si="5"/>
        <v>7349</v>
      </c>
    </row>
    <row r="145" spans="1:7">
      <c r="A145" t="s">
        <v>33</v>
      </c>
      <c r="B145" t="s">
        <v>286</v>
      </c>
      <c r="C145" s="2">
        <v>46186</v>
      </c>
      <c r="D145" s="3">
        <v>644</v>
      </c>
      <c r="E145" s="2">
        <v>46186</v>
      </c>
      <c r="F145">
        <f t="shared" ca="1" si="4"/>
        <v>49</v>
      </c>
      <c r="G145" s="3">
        <f t="shared" si="5"/>
        <v>7349</v>
      </c>
    </row>
    <row r="146" spans="1:7">
      <c r="A146" t="s">
        <v>33</v>
      </c>
      <c r="B146" t="s">
        <v>287</v>
      </c>
      <c r="C146" s="2">
        <v>46216</v>
      </c>
      <c r="D146" s="3">
        <v>2176</v>
      </c>
      <c r="E146" s="2">
        <v>46216</v>
      </c>
      <c r="F146">
        <f t="shared" ca="1" si="4"/>
        <v>19</v>
      </c>
      <c r="G146" s="3">
        <f t="shared" si="5"/>
        <v>7349</v>
      </c>
    </row>
    <row r="147" spans="1:7">
      <c r="A147" t="s">
        <v>33</v>
      </c>
      <c r="B147" t="s">
        <v>288</v>
      </c>
      <c r="C147" s="2">
        <v>46218</v>
      </c>
      <c r="D147" s="3">
        <v>1704</v>
      </c>
      <c r="E147" s="2">
        <v>46218</v>
      </c>
      <c r="F147">
        <f t="shared" ca="1" si="4"/>
        <v>17</v>
      </c>
      <c r="G147" s="3">
        <f t="shared" si="5"/>
        <v>7349</v>
      </c>
    </row>
    <row r="148" spans="1:7">
      <c r="A148" t="s">
        <v>33</v>
      </c>
      <c r="B148" t="s">
        <v>289</v>
      </c>
      <c r="C148" s="2">
        <v>46224</v>
      </c>
      <c r="D148" s="3">
        <v>1125</v>
      </c>
      <c r="E148" s="2">
        <v>46224</v>
      </c>
      <c r="F148">
        <f t="shared" ca="1" si="4"/>
        <v>11</v>
      </c>
      <c r="G148" s="3">
        <f t="shared" si="5"/>
        <v>7349</v>
      </c>
    </row>
    <row r="149" spans="1:7">
      <c r="A149" t="s">
        <v>34</v>
      </c>
      <c r="B149" t="s">
        <v>290</v>
      </c>
      <c r="C149" s="2">
        <v>46191</v>
      </c>
      <c r="D149" s="3">
        <v>3717</v>
      </c>
      <c r="E149" s="2">
        <v>46191</v>
      </c>
      <c r="F149">
        <f t="shared" ca="1" si="4"/>
        <v>44</v>
      </c>
      <c r="G149" s="3">
        <f t="shared" si="5"/>
        <v>3717</v>
      </c>
    </row>
    <row r="150" spans="1:7">
      <c r="A150" t="s">
        <v>35</v>
      </c>
      <c r="B150" t="s">
        <v>291</v>
      </c>
      <c r="C150" s="2">
        <v>46217</v>
      </c>
      <c r="D150" s="3">
        <v>8174</v>
      </c>
      <c r="E150" s="2">
        <v>46217</v>
      </c>
      <c r="F150">
        <f t="shared" ca="1" si="4"/>
        <v>18</v>
      </c>
      <c r="G150" s="3">
        <f t="shared" si="5"/>
        <v>8298</v>
      </c>
    </row>
    <row r="151" spans="1:7">
      <c r="A151" t="s">
        <v>35</v>
      </c>
      <c r="B151" t="s">
        <v>292</v>
      </c>
      <c r="C151" s="2">
        <v>46227</v>
      </c>
      <c r="D151" s="3">
        <v>124</v>
      </c>
      <c r="E151" s="2">
        <v>46227</v>
      </c>
      <c r="F151">
        <f t="shared" ca="1" si="4"/>
        <v>8</v>
      </c>
      <c r="G151" s="3">
        <f t="shared" si="5"/>
        <v>8298</v>
      </c>
    </row>
    <row r="152" spans="1:7">
      <c r="A152" t="s">
        <v>36</v>
      </c>
      <c r="B152" t="s">
        <v>293</v>
      </c>
      <c r="C152" s="2">
        <v>46178</v>
      </c>
      <c r="D152" s="3">
        <v>9800</v>
      </c>
      <c r="E152" s="2">
        <v>46178</v>
      </c>
      <c r="F152">
        <f t="shared" ca="1" si="4"/>
        <v>57</v>
      </c>
      <c r="G152" s="3">
        <f t="shared" si="5"/>
        <v>17096</v>
      </c>
    </row>
    <row r="153" spans="1:7">
      <c r="A153" t="s">
        <v>36</v>
      </c>
      <c r="B153" t="s">
        <v>294</v>
      </c>
      <c r="C153" s="2">
        <v>46212</v>
      </c>
      <c r="D153" s="3">
        <v>7296</v>
      </c>
      <c r="E153" s="2">
        <v>46212</v>
      </c>
      <c r="F153">
        <f t="shared" ca="1" si="4"/>
        <v>23</v>
      </c>
      <c r="G153" s="3">
        <f t="shared" si="5"/>
        <v>17096</v>
      </c>
    </row>
    <row r="154" spans="1:7">
      <c r="A154" t="s">
        <v>37</v>
      </c>
      <c r="B154" t="s">
        <v>295</v>
      </c>
      <c r="C154" s="2">
        <v>46235</v>
      </c>
      <c r="D154" s="3">
        <v>1175</v>
      </c>
      <c r="E154" s="2">
        <v>46235</v>
      </c>
      <c r="F154">
        <f t="shared" ca="1" si="4"/>
        <v>0</v>
      </c>
      <c r="G154" s="3">
        <f t="shared" si="5"/>
        <v>1175</v>
      </c>
    </row>
    <row r="155" spans="1:7">
      <c r="A155" t="s">
        <v>38</v>
      </c>
      <c r="B155" t="s">
        <v>296</v>
      </c>
      <c r="C155" s="2">
        <v>46219</v>
      </c>
      <c r="D155" s="3">
        <v>55394</v>
      </c>
      <c r="E155" s="2">
        <v>46219</v>
      </c>
      <c r="F155">
        <f t="shared" ca="1" si="4"/>
        <v>16</v>
      </c>
      <c r="G155" s="3">
        <f t="shared" si="5"/>
        <v>55394</v>
      </c>
    </row>
    <row r="156" spans="1:7">
      <c r="A156" t="s">
        <v>39</v>
      </c>
      <c r="B156" t="s">
        <v>297</v>
      </c>
      <c r="C156" s="2">
        <v>46116</v>
      </c>
      <c r="D156" s="3">
        <v>5316</v>
      </c>
      <c r="E156" s="2">
        <v>46116</v>
      </c>
      <c r="F156">
        <f t="shared" ca="1" si="4"/>
        <v>119</v>
      </c>
      <c r="G156" s="3">
        <f t="shared" si="5"/>
        <v>53111</v>
      </c>
    </row>
    <row r="157" spans="1:7">
      <c r="A157" t="s">
        <v>39</v>
      </c>
      <c r="B157" t="s">
        <v>298</v>
      </c>
      <c r="C157" s="2">
        <v>46136</v>
      </c>
      <c r="D157" s="3">
        <v>7296</v>
      </c>
      <c r="E157" s="2">
        <v>46136</v>
      </c>
      <c r="F157">
        <f t="shared" ca="1" si="4"/>
        <v>99</v>
      </c>
      <c r="G157" s="3">
        <f t="shared" si="5"/>
        <v>53111</v>
      </c>
    </row>
    <row r="158" spans="1:7">
      <c r="A158" t="s">
        <v>39</v>
      </c>
      <c r="B158" t="s">
        <v>299</v>
      </c>
      <c r="C158" s="2">
        <v>46141</v>
      </c>
      <c r="D158" s="3">
        <v>8832</v>
      </c>
      <c r="E158" s="2">
        <v>46141</v>
      </c>
      <c r="F158">
        <f t="shared" ca="1" si="4"/>
        <v>94</v>
      </c>
      <c r="G158" s="3">
        <f t="shared" si="5"/>
        <v>53111</v>
      </c>
    </row>
    <row r="159" spans="1:7">
      <c r="A159" t="s">
        <v>39</v>
      </c>
      <c r="B159" t="s">
        <v>300</v>
      </c>
      <c r="C159" s="2">
        <v>46149</v>
      </c>
      <c r="D159" s="3">
        <v>1138</v>
      </c>
      <c r="E159" s="2">
        <v>46149</v>
      </c>
      <c r="F159">
        <f t="shared" ca="1" si="4"/>
        <v>86</v>
      </c>
      <c r="G159" s="3">
        <f t="shared" si="5"/>
        <v>53111</v>
      </c>
    </row>
    <row r="160" spans="1:7">
      <c r="A160" t="s">
        <v>39</v>
      </c>
      <c r="B160" t="s">
        <v>301</v>
      </c>
      <c r="C160" s="2">
        <v>46151</v>
      </c>
      <c r="D160" s="3">
        <v>1559</v>
      </c>
      <c r="E160" s="2">
        <v>46151</v>
      </c>
      <c r="F160">
        <f t="shared" ca="1" si="4"/>
        <v>84</v>
      </c>
      <c r="G160" s="3">
        <f t="shared" si="5"/>
        <v>53111</v>
      </c>
    </row>
    <row r="161" spans="1:7">
      <c r="A161" t="s">
        <v>39</v>
      </c>
      <c r="B161" t="s">
        <v>302</v>
      </c>
      <c r="C161" s="2">
        <v>46158</v>
      </c>
      <c r="D161" s="3">
        <v>2020</v>
      </c>
      <c r="E161" s="2">
        <v>46158</v>
      </c>
      <c r="F161">
        <f t="shared" ca="1" si="4"/>
        <v>77</v>
      </c>
      <c r="G161" s="3">
        <f t="shared" si="5"/>
        <v>53111</v>
      </c>
    </row>
    <row r="162" spans="1:7">
      <c r="A162" t="s">
        <v>39</v>
      </c>
      <c r="B162" t="s">
        <v>303</v>
      </c>
      <c r="C162" s="2">
        <v>46172</v>
      </c>
      <c r="D162" s="3">
        <v>1363</v>
      </c>
      <c r="E162" s="2">
        <v>46172</v>
      </c>
      <c r="F162">
        <f t="shared" ca="1" si="4"/>
        <v>63</v>
      </c>
      <c r="G162" s="3">
        <f t="shared" si="5"/>
        <v>53111</v>
      </c>
    </row>
    <row r="163" spans="1:7">
      <c r="A163" t="s">
        <v>39</v>
      </c>
      <c r="B163" t="s">
        <v>304</v>
      </c>
      <c r="C163" s="2">
        <v>46182</v>
      </c>
      <c r="D163" s="3">
        <v>1298</v>
      </c>
      <c r="E163" s="2">
        <v>46182</v>
      </c>
      <c r="F163">
        <f t="shared" ca="1" si="4"/>
        <v>53</v>
      </c>
      <c r="G163" s="3">
        <f t="shared" si="5"/>
        <v>53111</v>
      </c>
    </row>
    <row r="164" spans="1:7">
      <c r="A164" t="s">
        <v>39</v>
      </c>
      <c r="B164" t="s">
        <v>305</v>
      </c>
      <c r="C164" s="2">
        <v>46182</v>
      </c>
      <c r="D164" s="3">
        <v>3540</v>
      </c>
      <c r="E164" s="2">
        <v>46182</v>
      </c>
      <c r="F164">
        <f t="shared" ca="1" si="4"/>
        <v>53</v>
      </c>
      <c r="G164" s="3">
        <f t="shared" si="5"/>
        <v>53111</v>
      </c>
    </row>
    <row r="165" spans="1:7">
      <c r="A165" t="s">
        <v>39</v>
      </c>
      <c r="B165" t="s">
        <v>306</v>
      </c>
      <c r="C165" s="2">
        <v>46182</v>
      </c>
      <c r="D165" s="3">
        <v>8301</v>
      </c>
      <c r="E165" s="2">
        <v>46182</v>
      </c>
      <c r="F165">
        <f t="shared" ca="1" si="4"/>
        <v>53</v>
      </c>
      <c r="G165" s="3">
        <f t="shared" si="5"/>
        <v>53111</v>
      </c>
    </row>
    <row r="166" spans="1:7">
      <c r="A166" t="s">
        <v>39</v>
      </c>
      <c r="B166" t="s">
        <v>307</v>
      </c>
      <c r="C166" s="2">
        <v>46200</v>
      </c>
      <c r="D166" s="3">
        <v>1766</v>
      </c>
      <c r="E166" s="2">
        <v>46200</v>
      </c>
      <c r="F166">
        <f t="shared" ca="1" si="4"/>
        <v>35</v>
      </c>
      <c r="G166" s="3">
        <f t="shared" si="5"/>
        <v>53111</v>
      </c>
    </row>
    <row r="167" spans="1:7">
      <c r="A167" t="s">
        <v>39</v>
      </c>
      <c r="B167" t="s">
        <v>308</v>
      </c>
      <c r="C167" s="2">
        <v>46207</v>
      </c>
      <c r="D167" s="3">
        <v>495</v>
      </c>
      <c r="E167" s="2">
        <v>46207</v>
      </c>
      <c r="F167">
        <f t="shared" ca="1" si="4"/>
        <v>28</v>
      </c>
      <c r="G167" s="3">
        <f t="shared" si="5"/>
        <v>53111</v>
      </c>
    </row>
    <row r="168" spans="1:7">
      <c r="A168" t="s">
        <v>39</v>
      </c>
      <c r="B168" t="s">
        <v>309</v>
      </c>
      <c r="C168" s="2">
        <v>46209</v>
      </c>
      <c r="D168" s="3">
        <v>1751</v>
      </c>
      <c r="E168" s="2">
        <v>46209</v>
      </c>
      <c r="F168">
        <f t="shared" ca="1" si="4"/>
        <v>26</v>
      </c>
      <c r="G168" s="3">
        <f t="shared" si="5"/>
        <v>53111</v>
      </c>
    </row>
    <row r="169" spans="1:7">
      <c r="A169" t="s">
        <v>39</v>
      </c>
      <c r="B169" t="s">
        <v>310</v>
      </c>
      <c r="C169" s="2">
        <v>46219</v>
      </c>
      <c r="D169" s="3">
        <v>2410</v>
      </c>
      <c r="E169" s="2">
        <v>46219</v>
      </c>
      <c r="F169">
        <f t="shared" ca="1" si="4"/>
        <v>16</v>
      </c>
      <c r="G169" s="3">
        <f t="shared" si="5"/>
        <v>53111</v>
      </c>
    </row>
    <row r="170" spans="1:7">
      <c r="A170" t="s">
        <v>39</v>
      </c>
      <c r="B170" t="s">
        <v>311</v>
      </c>
      <c r="C170" s="2">
        <v>46220</v>
      </c>
      <c r="D170" s="3">
        <v>882</v>
      </c>
      <c r="E170" s="2">
        <v>46220</v>
      </c>
      <c r="F170">
        <f t="shared" ca="1" si="4"/>
        <v>15</v>
      </c>
      <c r="G170" s="3">
        <f t="shared" si="5"/>
        <v>53111</v>
      </c>
    </row>
    <row r="171" spans="1:7">
      <c r="A171" t="s">
        <v>39</v>
      </c>
      <c r="B171" t="s">
        <v>312</v>
      </c>
      <c r="C171" s="2">
        <v>46224</v>
      </c>
      <c r="D171" s="3">
        <v>4744</v>
      </c>
      <c r="E171" s="2">
        <v>46224</v>
      </c>
      <c r="F171">
        <f t="shared" ca="1" si="4"/>
        <v>11</v>
      </c>
      <c r="G171" s="3">
        <f t="shared" si="5"/>
        <v>53111</v>
      </c>
    </row>
    <row r="172" spans="1:7">
      <c r="A172" t="s">
        <v>39</v>
      </c>
      <c r="B172" t="s">
        <v>313</v>
      </c>
      <c r="C172" s="2">
        <v>46228</v>
      </c>
      <c r="D172" s="3">
        <v>400</v>
      </c>
      <c r="E172" s="2">
        <v>46228</v>
      </c>
      <c r="F172">
        <f t="shared" ca="1" si="4"/>
        <v>7</v>
      </c>
      <c r="G172" s="3">
        <f t="shared" si="5"/>
        <v>53111</v>
      </c>
    </row>
    <row r="173" spans="1:7">
      <c r="A173" t="s">
        <v>40</v>
      </c>
      <c r="B173" t="s">
        <v>314</v>
      </c>
      <c r="C173" s="2">
        <v>46174</v>
      </c>
      <c r="D173" s="3">
        <v>30000</v>
      </c>
      <c r="E173" s="2">
        <v>46174</v>
      </c>
      <c r="F173">
        <f t="shared" ca="1" si="4"/>
        <v>61</v>
      </c>
      <c r="G173" s="3">
        <f t="shared" si="5"/>
        <v>115200</v>
      </c>
    </row>
    <row r="174" spans="1:7">
      <c r="A174" t="s">
        <v>40</v>
      </c>
      <c r="B174" t="s">
        <v>315</v>
      </c>
      <c r="C174" s="2">
        <v>46181</v>
      </c>
      <c r="D174" s="3">
        <v>4800</v>
      </c>
      <c r="E174" s="2">
        <v>46181</v>
      </c>
      <c r="F174">
        <f t="shared" ca="1" si="4"/>
        <v>54</v>
      </c>
      <c r="G174" s="3">
        <f t="shared" si="5"/>
        <v>115200</v>
      </c>
    </row>
    <row r="175" spans="1:7">
      <c r="A175" t="s">
        <v>40</v>
      </c>
      <c r="B175" t="s">
        <v>316</v>
      </c>
      <c r="C175" s="2">
        <v>46184</v>
      </c>
      <c r="D175" s="3">
        <v>4800</v>
      </c>
      <c r="E175" s="2">
        <v>46184</v>
      </c>
      <c r="F175">
        <f t="shared" ca="1" si="4"/>
        <v>51</v>
      </c>
      <c r="G175" s="3">
        <f t="shared" si="5"/>
        <v>115200</v>
      </c>
    </row>
    <row r="176" spans="1:7">
      <c r="A176" t="s">
        <v>40</v>
      </c>
      <c r="B176" t="s">
        <v>317</v>
      </c>
      <c r="C176" s="2">
        <v>46200</v>
      </c>
      <c r="D176" s="3">
        <v>16800</v>
      </c>
      <c r="E176" s="2">
        <v>46200</v>
      </c>
      <c r="F176">
        <f t="shared" ca="1" si="4"/>
        <v>35</v>
      </c>
      <c r="G176" s="3">
        <f t="shared" si="5"/>
        <v>115200</v>
      </c>
    </row>
    <row r="177" spans="1:7">
      <c r="A177" t="s">
        <v>40</v>
      </c>
      <c r="B177" t="s">
        <v>318</v>
      </c>
      <c r="C177" s="2">
        <v>46202</v>
      </c>
      <c r="D177" s="3">
        <v>18000</v>
      </c>
      <c r="E177" s="2">
        <v>46202</v>
      </c>
      <c r="F177">
        <f t="shared" ca="1" si="4"/>
        <v>33</v>
      </c>
      <c r="G177" s="3">
        <f t="shared" si="5"/>
        <v>115200</v>
      </c>
    </row>
    <row r="178" spans="1:7">
      <c r="A178" t="s">
        <v>40</v>
      </c>
      <c r="B178" t="s">
        <v>319</v>
      </c>
      <c r="C178" s="2">
        <v>46216</v>
      </c>
      <c r="D178" s="3">
        <v>6000</v>
      </c>
      <c r="E178" s="2">
        <v>46216</v>
      </c>
      <c r="F178">
        <f t="shared" ca="1" si="4"/>
        <v>19</v>
      </c>
      <c r="G178" s="3">
        <f t="shared" si="5"/>
        <v>115200</v>
      </c>
    </row>
    <row r="179" spans="1:7">
      <c r="A179" t="s">
        <v>40</v>
      </c>
      <c r="B179" t="s">
        <v>320</v>
      </c>
      <c r="C179" s="2">
        <v>46217</v>
      </c>
      <c r="D179" s="3">
        <v>6000</v>
      </c>
      <c r="E179" s="2">
        <v>46217</v>
      </c>
      <c r="F179">
        <f t="shared" ca="1" si="4"/>
        <v>18</v>
      </c>
      <c r="G179" s="3">
        <f t="shared" si="5"/>
        <v>115200</v>
      </c>
    </row>
    <row r="180" spans="1:7">
      <c r="A180" t="s">
        <v>40</v>
      </c>
      <c r="B180" t="s">
        <v>321</v>
      </c>
      <c r="C180" s="2">
        <v>46230</v>
      </c>
      <c r="D180" s="3">
        <v>28800</v>
      </c>
      <c r="E180" s="2">
        <v>46230</v>
      </c>
      <c r="F180">
        <f t="shared" ca="1" si="4"/>
        <v>5</v>
      </c>
      <c r="G180" s="3">
        <f t="shared" si="5"/>
        <v>115200</v>
      </c>
    </row>
    <row r="181" spans="1:7">
      <c r="A181" t="s">
        <v>41</v>
      </c>
      <c r="B181" t="s">
        <v>322</v>
      </c>
      <c r="C181" s="2">
        <v>46067</v>
      </c>
      <c r="D181" s="3">
        <v>3125</v>
      </c>
      <c r="E181" s="2">
        <v>46067</v>
      </c>
      <c r="F181">
        <f t="shared" ca="1" si="4"/>
        <v>168</v>
      </c>
      <c r="G181" s="3">
        <f t="shared" si="5"/>
        <v>10782</v>
      </c>
    </row>
    <row r="182" spans="1:7">
      <c r="A182" t="s">
        <v>41</v>
      </c>
      <c r="B182" t="s">
        <v>323</v>
      </c>
      <c r="C182" s="2">
        <v>46199</v>
      </c>
      <c r="D182" s="3">
        <v>7657</v>
      </c>
      <c r="E182" s="2">
        <v>46199</v>
      </c>
      <c r="F182">
        <f t="shared" ca="1" si="4"/>
        <v>36</v>
      </c>
      <c r="G182" s="3">
        <f t="shared" si="5"/>
        <v>10782</v>
      </c>
    </row>
    <row r="183" spans="1:7">
      <c r="A183" t="s">
        <v>42</v>
      </c>
      <c r="B183" t="s">
        <v>324</v>
      </c>
      <c r="C183" s="2">
        <v>46235</v>
      </c>
      <c r="D183" s="3">
        <v>764</v>
      </c>
      <c r="E183" s="2">
        <v>46235</v>
      </c>
      <c r="F183">
        <f t="shared" ca="1" si="4"/>
        <v>0</v>
      </c>
      <c r="G183" s="3">
        <f t="shared" si="5"/>
        <v>764</v>
      </c>
    </row>
    <row r="184" spans="1:7">
      <c r="A184" t="s">
        <v>43</v>
      </c>
      <c r="B184" t="s">
        <v>325</v>
      </c>
      <c r="C184" s="2">
        <v>46122</v>
      </c>
      <c r="D184" s="3">
        <v>28320</v>
      </c>
      <c r="E184" s="2">
        <v>46122</v>
      </c>
      <c r="F184">
        <f t="shared" ca="1" si="4"/>
        <v>113</v>
      </c>
      <c r="G184" s="3">
        <f t="shared" si="5"/>
        <v>68959</v>
      </c>
    </row>
    <row r="185" spans="1:7">
      <c r="A185" t="s">
        <v>43</v>
      </c>
      <c r="B185" t="s">
        <v>326</v>
      </c>
      <c r="C185" s="2">
        <v>46156</v>
      </c>
      <c r="D185" s="3">
        <v>29736</v>
      </c>
      <c r="E185" s="2">
        <v>46156</v>
      </c>
      <c r="F185">
        <f t="shared" ca="1" si="4"/>
        <v>79</v>
      </c>
      <c r="G185" s="3">
        <f t="shared" si="5"/>
        <v>68959</v>
      </c>
    </row>
    <row r="186" spans="1:7">
      <c r="A186" t="s">
        <v>43</v>
      </c>
      <c r="B186" t="s">
        <v>327</v>
      </c>
      <c r="C186" s="2">
        <v>46212</v>
      </c>
      <c r="D186" s="3">
        <v>8921</v>
      </c>
      <c r="E186" s="2">
        <v>46212</v>
      </c>
      <c r="F186">
        <f t="shared" ca="1" si="4"/>
        <v>23</v>
      </c>
      <c r="G186" s="3">
        <f t="shared" si="5"/>
        <v>68959</v>
      </c>
    </row>
    <row r="187" spans="1:7">
      <c r="A187" t="s">
        <v>43</v>
      </c>
      <c r="B187" t="s">
        <v>328</v>
      </c>
      <c r="C187" s="2">
        <v>46233</v>
      </c>
      <c r="D187" s="3">
        <v>1982</v>
      </c>
      <c r="E187" s="2">
        <v>46233</v>
      </c>
      <c r="F187">
        <f t="shared" ca="1" si="4"/>
        <v>2</v>
      </c>
      <c r="G187" s="3">
        <f t="shared" si="5"/>
        <v>68959</v>
      </c>
    </row>
    <row r="188" spans="1:7">
      <c r="A188" t="s">
        <v>44</v>
      </c>
      <c r="B188" t="s">
        <v>329</v>
      </c>
      <c r="C188" s="2">
        <v>46205</v>
      </c>
      <c r="D188" s="3">
        <v>15000</v>
      </c>
      <c r="E188" s="2">
        <v>46205</v>
      </c>
      <c r="F188">
        <f t="shared" ca="1" si="4"/>
        <v>30</v>
      </c>
      <c r="G188" s="3">
        <f t="shared" si="5"/>
        <v>30500</v>
      </c>
    </row>
    <row r="189" spans="1:7">
      <c r="A189" t="s">
        <v>44</v>
      </c>
      <c r="B189" t="s">
        <v>330</v>
      </c>
      <c r="C189" s="2">
        <v>46221</v>
      </c>
      <c r="D189" s="3">
        <v>500</v>
      </c>
      <c r="E189" s="2">
        <v>46221</v>
      </c>
      <c r="F189">
        <f t="shared" ca="1" si="4"/>
        <v>14</v>
      </c>
      <c r="G189" s="3">
        <f t="shared" si="5"/>
        <v>30500</v>
      </c>
    </row>
    <row r="190" spans="1:7">
      <c r="A190" t="s">
        <v>44</v>
      </c>
      <c r="B190" t="s">
        <v>331</v>
      </c>
      <c r="C190" s="2">
        <v>46228</v>
      </c>
      <c r="D190" s="3">
        <v>15000</v>
      </c>
      <c r="E190" s="2">
        <v>46228</v>
      </c>
      <c r="F190">
        <f t="shared" ca="1" si="4"/>
        <v>7</v>
      </c>
      <c r="G190" s="3">
        <f t="shared" si="5"/>
        <v>30500</v>
      </c>
    </row>
    <row r="191" spans="1:7">
      <c r="A191" t="s">
        <v>45</v>
      </c>
      <c r="B191" t="s">
        <v>332</v>
      </c>
      <c r="C191" s="2">
        <v>46221</v>
      </c>
      <c r="D191" s="3">
        <v>360</v>
      </c>
      <c r="E191" s="2">
        <v>46221</v>
      </c>
      <c r="F191">
        <f t="shared" ca="1" si="4"/>
        <v>14</v>
      </c>
      <c r="G191" s="3">
        <f t="shared" si="5"/>
        <v>360</v>
      </c>
    </row>
    <row r="192" spans="1:7">
      <c r="A192" t="s">
        <v>46</v>
      </c>
      <c r="B192" t="s">
        <v>333</v>
      </c>
      <c r="C192" s="2">
        <v>46198</v>
      </c>
      <c r="D192" s="3">
        <v>46030</v>
      </c>
      <c r="E192" s="2">
        <v>46198</v>
      </c>
      <c r="F192">
        <f t="shared" ca="1" si="4"/>
        <v>37</v>
      </c>
      <c r="G192" s="3">
        <f t="shared" si="5"/>
        <v>145391</v>
      </c>
    </row>
    <row r="193" spans="1:7">
      <c r="A193" t="s">
        <v>46</v>
      </c>
      <c r="B193" t="s">
        <v>334</v>
      </c>
      <c r="C193" s="2">
        <v>46207</v>
      </c>
      <c r="D193" s="3">
        <v>9540</v>
      </c>
      <c r="E193" s="2">
        <v>46207</v>
      </c>
      <c r="F193">
        <f t="shared" ca="1" si="4"/>
        <v>28</v>
      </c>
      <c r="G193" s="3">
        <f t="shared" si="5"/>
        <v>145391</v>
      </c>
    </row>
    <row r="194" spans="1:7">
      <c r="A194" t="s">
        <v>46</v>
      </c>
      <c r="B194" t="s">
        <v>335</v>
      </c>
      <c r="C194" s="2">
        <v>46210</v>
      </c>
      <c r="D194" s="3">
        <v>24038</v>
      </c>
      <c r="E194" s="2">
        <v>46210</v>
      </c>
      <c r="F194">
        <f t="shared" ca="1" si="4"/>
        <v>25</v>
      </c>
      <c r="G194" s="3">
        <f t="shared" si="5"/>
        <v>145391</v>
      </c>
    </row>
    <row r="195" spans="1:7">
      <c r="A195" t="s">
        <v>46</v>
      </c>
      <c r="B195" t="s">
        <v>336</v>
      </c>
      <c r="C195" s="2">
        <v>46214</v>
      </c>
      <c r="D195" s="3">
        <v>25110</v>
      </c>
      <c r="E195" s="2">
        <v>46214</v>
      </c>
      <c r="F195">
        <f t="shared" ca="1" si="4"/>
        <v>21</v>
      </c>
      <c r="G195" s="3">
        <f t="shared" si="5"/>
        <v>145391</v>
      </c>
    </row>
    <row r="196" spans="1:7">
      <c r="A196" t="s">
        <v>46</v>
      </c>
      <c r="B196" t="s">
        <v>337</v>
      </c>
      <c r="C196" s="2">
        <v>46221</v>
      </c>
      <c r="D196" s="3">
        <v>13120</v>
      </c>
      <c r="E196" s="2">
        <v>46221</v>
      </c>
      <c r="F196">
        <f t="shared" ca="1" si="4"/>
        <v>14</v>
      </c>
      <c r="G196" s="3">
        <f t="shared" si="5"/>
        <v>145391</v>
      </c>
    </row>
    <row r="197" spans="1:7">
      <c r="A197" t="s">
        <v>46</v>
      </c>
      <c r="B197" t="s">
        <v>338</v>
      </c>
      <c r="C197" s="2">
        <v>46226</v>
      </c>
      <c r="D197" s="3">
        <v>3000</v>
      </c>
      <c r="E197" s="2">
        <v>46226</v>
      </c>
      <c r="F197">
        <f t="shared" ref="F197:F260" ca="1" si="6">TODAY()-E197</f>
        <v>9</v>
      </c>
      <c r="G197" s="3">
        <f t="shared" ref="G197:G260" si="7">SUMIF($A$5:$A$563,A197,$D$5:$D$563)</f>
        <v>145391</v>
      </c>
    </row>
    <row r="198" spans="1:7">
      <c r="A198" t="s">
        <v>46</v>
      </c>
      <c r="B198" t="s">
        <v>339</v>
      </c>
      <c r="C198" s="2">
        <v>46228</v>
      </c>
      <c r="D198" s="3">
        <v>8733</v>
      </c>
      <c r="E198" s="2">
        <v>46228</v>
      </c>
      <c r="F198">
        <f t="shared" ca="1" si="6"/>
        <v>7</v>
      </c>
      <c r="G198" s="3">
        <f t="shared" si="7"/>
        <v>145391</v>
      </c>
    </row>
    <row r="199" spans="1:7">
      <c r="A199" t="s">
        <v>46</v>
      </c>
      <c r="B199" t="s">
        <v>340</v>
      </c>
      <c r="C199" s="2">
        <v>46235</v>
      </c>
      <c r="D199" s="3">
        <v>15820</v>
      </c>
      <c r="E199" s="2">
        <v>46235</v>
      </c>
      <c r="F199">
        <f t="shared" ca="1" si="6"/>
        <v>0</v>
      </c>
      <c r="G199" s="3">
        <f t="shared" si="7"/>
        <v>145391</v>
      </c>
    </row>
    <row r="200" spans="1:7">
      <c r="A200" t="s">
        <v>47</v>
      </c>
      <c r="B200" t="s">
        <v>341</v>
      </c>
      <c r="C200" s="2">
        <v>46186</v>
      </c>
      <c r="D200" s="3">
        <v>1768</v>
      </c>
      <c r="E200" s="2">
        <v>46186</v>
      </c>
      <c r="F200">
        <f t="shared" ca="1" si="6"/>
        <v>49</v>
      </c>
      <c r="G200" s="3">
        <f t="shared" si="7"/>
        <v>67304</v>
      </c>
    </row>
    <row r="201" spans="1:7">
      <c r="A201" t="s">
        <v>47</v>
      </c>
      <c r="B201" t="s">
        <v>342</v>
      </c>
      <c r="C201" s="2">
        <v>46186</v>
      </c>
      <c r="D201" s="3">
        <v>3634</v>
      </c>
      <c r="E201" s="2">
        <v>46186</v>
      </c>
      <c r="F201">
        <f t="shared" ca="1" si="6"/>
        <v>49</v>
      </c>
      <c r="G201" s="3">
        <f t="shared" si="7"/>
        <v>67304</v>
      </c>
    </row>
    <row r="202" spans="1:7">
      <c r="A202" t="s">
        <v>47</v>
      </c>
      <c r="B202" t="s">
        <v>343</v>
      </c>
      <c r="C202" s="2">
        <v>46200</v>
      </c>
      <c r="D202" s="3">
        <v>14618</v>
      </c>
      <c r="E202" s="2">
        <v>46200</v>
      </c>
      <c r="F202">
        <f t="shared" ca="1" si="6"/>
        <v>35</v>
      </c>
      <c r="G202" s="3">
        <f t="shared" si="7"/>
        <v>67304</v>
      </c>
    </row>
    <row r="203" spans="1:7">
      <c r="A203" t="s">
        <v>47</v>
      </c>
      <c r="B203" t="s">
        <v>344</v>
      </c>
      <c r="C203" s="2">
        <v>46207</v>
      </c>
      <c r="D203" s="3">
        <v>8047</v>
      </c>
      <c r="E203" s="2">
        <v>46207</v>
      </c>
      <c r="F203">
        <f t="shared" ca="1" si="6"/>
        <v>28</v>
      </c>
      <c r="G203" s="3">
        <f t="shared" si="7"/>
        <v>67304</v>
      </c>
    </row>
    <row r="204" spans="1:7">
      <c r="A204" t="s">
        <v>47</v>
      </c>
      <c r="B204" t="s">
        <v>345</v>
      </c>
      <c r="C204" s="2">
        <v>46214</v>
      </c>
      <c r="D204" s="3">
        <v>13047</v>
      </c>
      <c r="E204" s="2">
        <v>46214</v>
      </c>
      <c r="F204">
        <f t="shared" ca="1" si="6"/>
        <v>21</v>
      </c>
      <c r="G204" s="3">
        <f t="shared" si="7"/>
        <v>67304</v>
      </c>
    </row>
    <row r="205" spans="1:7">
      <c r="A205" t="s">
        <v>47</v>
      </c>
      <c r="B205" t="s">
        <v>346</v>
      </c>
      <c r="C205" s="2">
        <v>46221</v>
      </c>
      <c r="D205" s="3">
        <v>1800</v>
      </c>
      <c r="E205" s="2">
        <v>46221</v>
      </c>
      <c r="F205">
        <f t="shared" ca="1" si="6"/>
        <v>14</v>
      </c>
      <c r="G205" s="3">
        <f t="shared" si="7"/>
        <v>67304</v>
      </c>
    </row>
    <row r="206" spans="1:7">
      <c r="A206" t="s">
        <v>47</v>
      </c>
      <c r="B206" t="s">
        <v>347</v>
      </c>
      <c r="C206" s="2">
        <v>46228</v>
      </c>
      <c r="D206" s="3">
        <v>6750</v>
      </c>
      <c r="E206" s="2">
        <v>46228</v>
      </c>
      <c r="F206">
        <f t="shared" ca="1" si="6"/>
        <v>7</v>
      </c>
      <c r="G206" s="3">
        <f t="shared" si="7"/>
        <v>67304</v>
      </c>
    </row>
    <row r="207" spans="1:7">
      <c r="A207" t="s">
        <v>47</v>
      </c>
      <c r="B207" t="s">
        <v>348</v>
      </c>
      <c r="C207" s="2">
        <v>46235</v>
      </c>
      <c r="D207" s="3">
        <v>17640</v>
      </c>
      <c r="E207" s="2">
        <v>46235</v>
      </c>
      <c r="F207">
        <f t="shared" ca="1" si="6"/>
        <v>0</v>
      </c>
      <c r="G207" s="3">
        <f t="shared" si="7"/>
        <v>67304</v>
      </c>
    </row>
    <row r="208" spans="1:7">
      <c r="A208" t="s">
        <v>48</v>
      </c>
      <c r="B208" t="s">
        <v>349</v>
      </c>
      <c r="C208" s="2">
        <v>46087</v>
      </c>
      <c r="D208" s="3">
        <v>9828</v>
      </c>
      <c r="E208" s="2">
        <v>46087</v>
      </c>
      <c r="F208">
        <f t="shared" ca="1" si="6"/>
        <v>148</v>
      </c>
      <c r="G208" s="3">
        <f t="shared" si="7"/>
        <v>9828</v>
      </c>
    </row>
    <row r="209" spans="1:7">
      <c r="A209" t="s">
        <v>49</v>
      </c>
      <c r="B209" t="s">
        <v>350</v>
      </c>
      <c r="C209" s="2">
        <v>46200</v>
      </c>
      <c r="D209" s="3">
        <v>3186</v>
      </c>
      <c r="E209" s="2">
        <v>46200</v>
      </c>
      <c r="F209">
        <f t="shared" ca="1" si="6"/>
        <v>35</v>
      </c>
      <c r="G209" s="3">
        <f t="shared" si="7"/>
        <v>3186</v>
      </c>
    </row>
    <row r="210" spans="1:7">
      <c r="A210" t="s">
        <v>50</v>
      </c>
      <c r="B210" t="s">
        <v>351</v>
      </c>
      <c r="C210" s="2">
        <v>46235</v>
      </c>
      <c r="D210" s="3">
        <v>1900</v>
      </c>
      <c r="E210" s="2">
        <v>46235</v>
      </c>
      <c r="F210">
        <f t="shared" ca="1" si="6"/>
        <v>0</v>
      </c>
      <c r="G210" s="3">
        <f t="shared" si="7"/>
        <v>1900</v>
      </c>
    </row>
    <row r="211" spans="1:7">
      <c r="A211" t="s">
        <v>51</v>
      </c>
      <c r="B211" t="s">
        <v>352</v>
      </c>
      <c r="C211" s="2">
        <v>45713</v>
      </c>
      <c r="D211" s="3">
        <v>51250</v>
      </c>
      <c r="E211" s="2">
        <v>45713</v>
      </c>
      <c r="F211">
        <f t="shared" ca="1" si="6"/>
        <v>522</v>
      </c>
      <c r="G211" s="3">
        <f t="shared" si="7"/>
        <v>117780</v>
      </c>
    </row>
    <row r="212" spans="1:7">
      <c r="A212" t="s">
        <v>51</v>
      </c>
      <c r="B212" t="s">
        <v>353</v>
      </c>
      <c r="C212" s="2">
        <v>45748</v>
      </c>
      <c r="D212" s="3">
        <v>6600</v>
      </c>
      <c r="E212" s="2">
        <v>45748</v>
      </c>
      <c r="F212">
        <f t="shared" ca="1" si="6"/>
        <v>487</v>
      </c>
      <c r="G212" s="3">
        <f t="shared" si="7"/>
        <v>117780</v>
      </c>
    </row>
    <row r="213" spans="1:7">
      <c r="A213" t="s">
        <v>51</v>
      </c>
      <c r="B213" t="s">
        <v>354</v>
      </c>
      <c r="C213" s="2">
        <v>45750</v>
      </c>
      <c r="D213" s="3">
        <v>1514</v>
      </c>
      <c r="E213" s="2">
        <v>45750</v>
      </c>
      <c r="F213">
        <f t="shared" ca="1" si="6"/>
        <v>485</v>
      </c>
      <c r="G213" s="3">
        <f t="shared" si="7"/>
        <v>117780</v>
      </c>
    </row>
    <row r="214" spans="1:7">
      <c r="A214" t="s">
        <v>51</v>
      </c>
      <c r="B214" t="s">
        <v>355</v>
      </c>
      <c r="C214" s="2">
        <v>45763</v>
      </c>
      <c r="D214" s="3">
        <v>8800</v>
      </c>
      <c r="E214" s="2">
        <v>45763</v>
      </c>
      <c r="F214">
        <f t="shared" ca="1" si="6"/>
        <v>472</v>
      </c>
      <c r="G214" s="3">
        <f t="shared" si="7"/>
        <v>117780</v>
      </c>
    </row>
    <row r="215" spans="1:7">
      <c r="A215" t="s">
        <v>51</v>
      </c>
      <c r="B215" t="s">
        <v>356</v>
      </c>
      <c r="C215" s="2">
        <v>45772</v>
      </c>
      <c r="D215" s="3">
        <v>4000</v>
      </c>
      <c r="E215" s="2">
        <v>45772</v>
      </c>
      <c r="F215">
        <f t="shared" ca="1" si="6"/>
        <v>463</v>
      </c>
      <c r="G215" s="3">
        <f t="shared" si="7"/>
        <v>117780</v>
      </c>
    </row>
    <row r="216" spans="1:7">
      <c r="A216" t="s">
        <v>51</v>
      </c>
      <c r="B216" t="s">
        <v>357</v>
      </c>
      <c r="C216" s="2">
        <v>45805</v>
      </c>
      <c r="D216" s="3">
        <v>4858</v>
      </c>
      <c r="E216" s="2">
        <v>45805</v>
      </c>
      <c r="F216">
        <f t="shared" ca="1" si="6"/>
        <v>430</v>
      </c>
      <c r="G216" s="3">
        <f t="shared" si="7"/>
        <v>117780</v>
      </c>
    </row>
    <row r="217" spans="1:7">
      <c r="A217" t="s">
        <v>51</v>
      </c>
      <c r="B217" t="s">
        <v>358</v>
      </c>
      <c r="C217" s="2">
        <v>45885</v>
      </c>
      <c r="D217" s="3">
        <v>4800</v>
      </c>
      <c r="E217" s="2">
        <v>45885</v>
      </c>
      <c r="F217">
        <f t="shared" ca="1" si="6"/>
        <v>350</v>
      </c>
      <c r="G217" s="3">
        <f t="shared" si="7"/>
        <v>117780</v>
      </c>
    </row>
    <row r="218" spans="1:7">
      <c r="A218" t="s">
        <v>51</v>
      </c>
      <c r="B218" t="s">
        <v>359</v>
      </c>
      <c r="C218" s="2">
        <v>45890</v>
      </c>
      <c r="D218" s="3">
        <v>26208</v>
      </c>
      <c r="E218" s="2">
        <v>45890</v>
      </c>
      <c r="F218">
        <f t="shared" ca="1" si="6"/>
        <v>345</v>
      </c>
      <c r="G218" s="3">
        <f t="shared" si="7"/>
        <v>117780</v>
      </c>
    </row>
    <row r="219" spans="1:7">
      <c r="A219" t="s">
        <v>51</v>
      </c>
      <c r="B219" t="s">
        <v>360</v>
      </c>
      <c r="C219" s="2">
        <v>45917</v>
      </c>
      <c r="D219" s="3">
        <v>2000</v>
      </c>
      <c r="E219" s="2">
        <v>45917</v>
      </c>
      <c r="F219">
        <f t="shared" ca="1" si="6"/>
        <v>318</v>
      </c>
      <c r="G219" s="3">
        <f t="shared" si="7"/>
        <v>117780</v>
      </c>
    </row>
    <row r="220" spans="1:7">
      <c r="A220" t="s">
        <v>51</v>
      </c>
      <c r="B220" t="s">
        <v>361</v>
      </c>
      <c r="C220" s="2">
        <v>45930</v>
      </c>
      <c r="D220" s="3">
        <v>7000</v>
      </c>
      <c r="E220" s="2">
        <v>45930</v>
      </c>
      <c r="F220">
        <f t="shared" ca="1" si="6"/>
        <v>305</v>
      </c>
      <c r="G220" s="3">
        <f t="shared" si="7"/>
        <v>117780</v>
      </c>
    </row>
    <row r="221" spans="1:7">
      <c r="A221" t="s">
        <v>51</v>
      </c>
      <c r="B221" t="s">
        <v>362</v>
      </c>
      <c r="C221" s="2">
        <v>45933</v>
      </c>
      <c r="D221" s="3">
        <v>750</v>
      </c>
      <c r="E221" s="2">
        <v>45933</v>
      </c>
      <c r="F221">
        <f t="shared" ca="1" si="6"/>
        <v>302</v>
      </c>
      <c r="G221" s="3">
        <f t="shared" si="7"/>
        <v>117780</v>
      </c>
    </row>
    <row r="222" spans="1:7">
      <c r="A222" t="s">
        <v>52</v>
      </c>
      <c r="B222" t="s">
        <v>363</v>
      </c>
      <c r="C222" s="2">
        <v>46216</v>
      </c>
      <c r="D222" s="3">
        <v>6344</v>
      </c>
      <c r="E222" s="2">
        <v>46216</v>
      </c>
      <c r="F222">
        <f t="shared" ca="1" si="6"/>
        <v>19</v>
      </c>
      <c r="G222" s="3">
        <f t="shared" si="7"/>
        <v>22266</v>
      </c>
    </row>
    <row r="223" spans="1:7">
      <c r="A223" t="s">
        <v>52</v>
      </c>
      <c r="B223" t="s">
        <v>364</v>
      </c>
      <c r="C223" s="2">
        <v>46224</v>
      </c>
      <c r="D223" s="3">
        <v>14270</v>
      </c>
      <c r="E223" s="2">
        <v>46224</v>
      </c>
      <c r="F223">
        <f t="shared" ca="1" si="6"/>
        <v>11</v>
      </c>
      <c r="G223" s="3">
        <f t="shared" si="7"/>
        <v>22266</v>
      </c>
    </row>
    <row r="224" spans="1:7">
      <c r="A224" t="s">
        <v>52</v>
      </c>
      <c r="B224" t="s">
        <v>365</v>
      </c>
      <c r="C224" s="2">
        <v>46234</v>
      </c>
      <c r="D224" s="3">
        <v>1652</v>
      </c>
      <c r="E224" s="2">
        <v>46234</v>
      </c>
      <c r="F224">
        <f t="shared" ca="1" si="6"/>
        <v>1</v>
      </c>
      <c r="G224" s="3">
        <f t="shared" si="7"/>
        <v>22266</v>
      </c>
    </row>
    <row r="225" spans="1:7">
      <c r="A225" t="s">
        <v>53</v>
      </c>
      <c r="B225" t="s">
        <v>366</v>
      </c>
      <c r="C225" s="2">
        <v>46154</v>
      </c>
      <c r="D225" s="3">
        <v>1001</v>
      </c>
      <c r="E225" s="2">
        <v>46154</v>
      </c>
      <c r="F225">
        <f t="shared" ca="1" si="6"/>
        <v>81</v>
      </c>
      <c r="G225" s="3">
        <f t="shared" si="7"/>
        <v>1001</v>
      </c>
    </row>
    <row r="226" spans="1:7">
      <c r="A226" t="s">
        <v>54</v>
      </c>
      <c r="B226" t="s">
        <v>367</v>
      </c>
      <c r="C226" s="2">
        <v>46191</v>
      </c>
      <c r="D226" s="3">
        <v>1558</v>
      </c>
      <c r="E226" s="2">
        <v>46191</v>
      </c>
      <c r="F226">
        <f t="shared" ca="1" si="6"/>
        <v>44</v>
      </c>
      <c r="G226" s="3">
        <f t="shared" si="7"/>
        <v>3365</v>
      </c>
    </row>
    <row r="227" spans="1:7">
      <c r="A227" t="s">
        <v>54</v>
      </c>
      <c r="B227" t="s">
        <v>368</v>
      </c>
      <c r="C227" s="2">
        <v>46211</v>
      </c>
      <c r="D227" s="3">
        <v>1500</v>
      </c>
      <c r="E227" s="2">
        <v>46211</v>
      </c>
      <c r="F227">
        <f t="shared" ca="1" si="6"/>
        <v>24</v>
      </c>
      <c r="G227" s="3">
        <f t="shared" si="7"/>
        <v>3365</v>
      </c>
    </row>
    <row r="228" spans="1:7">
      <c r="A228" t="s">
        <v>54</v>
      </c>
      <c r="B228" t="s">
        <v>369</v>
      </c>
      <c r="C228" s="2">
        <v>46213</v>
      </c>
      <c r="D228" s="3">
        <v>307</v>
      </c>
      <c r="E228" s="2">
        <v>46213</v>
      </c>
      <c r="F228">
        <f t="shared" ca="1" si="6"/>
        <v>22</v>
      </c>
      <c r="G228" s="3">
        <f t="shared" si="7"/>
        <v>3365</v>
      </c>
    </row>
    <row r="229" spans="1:7">
      <c r="A229" t="s">
        <v>55</v>
      </c>
      <c r="B229" t="s">
        <v>370</v>
      </c>
      <c r="C229" s="2">
        <v>46147</v>
      </c>
      <c r="D229" s="3">
        <v>11144</v>
      </c>
      <c r="E229" s="2">
        <v>46147</v>
      </c>
      <c r="F229">
        <f t="shared" ca="1" si="6"/>
        <v>88</v>
      </c>
      <c r="G229" s="3">
        <f t="shared" si="7"/>
        <v>66432</v>
      </c>
    </row>
    <row r="230" spans="1:7">
      <c r="A230" t="s">
        <v>55</v>
      </c>
      <c r="B230" t="s">
        <v>371</v>
      </c>
      <c r="C230" s="2">
        <v>46163</v>
      </c>
      <c r="D230" s="3">
        <v>13937</v>
      </c>
      <c r="E230" s="2">
        <v>46163</v>
      </c>
      <c r="F230">
        <f t="shared" ca="1" si="6"/>
        <v>72</v>
      </c>
      <c r="G230" s="3">
        <f t="shared" si="7"/>
        <v>66432</v>
      </c>
    </row>
    <row r="231" spans="1:7">
      <c r="A231" t="s">
        <v>55</v>
      </c>
      <c r="B231" t="s">
        <v>372</v>
      </c>
      <c r="C231" s="2">
        <v>46183</v>
      </c>
      <c r="D231" s="3">
        <v>8511</v>
      </c>
      <c r="E231" s="2">
        <v>46183</v>
      </c>
      <c r="F231">
        <f t="shared" ca="1" si="6"/>
        <v>52</v>
      </c>
      <c r="G231" s="3">
        <f t="shared" si="7"/>
        <v>66432</v>
      </c>
    </row>
    <row r="232" spans="1:7">
      <c r="A232" t="s">
        <v>55</v>
      </c>
      <c r="B232" t="s">
        <v>373</v>
      </c>
      <c r="C232" s="2">
        <v>46204</v>
      </c>
      <c r="D232" s="3">
        <v>11621</v>
      </c>
      <c r="E232" s="2">
        <v>46204</v>
      </c>
      <c r="F232">
        <f t="shared" ca="1" si="6"/>
        <v>31</v>
      </c>
      <c r="G232" s="3">
        <f t="shared" si="7"/>
        <v>66432</v>
      </c>
    </row>
    <row r="233" spans="1:7">
      <c r="A233" t="s">
        <v>55</v>
      </c>
      <c r="B233" t="s">
        <v>374</v>
      </c>
      <c r="C233" s="2">
        <v>46204</v>
      </c>
      <c r="D233" s="3">
        <v>1323</v>
      </c>
      <c r="E233" s="2">
        <v>46204</v>
      </c>
      <c r="F233">
        <f t="shared" ca="1" si="6"/>
        <v>31</v>
      </c>
      <c r="G233" s="3">
        <f t="shared" si="7"/>
        <v>66432</v>
      </c>
    </row>
    <row r="234" spans="1:7">
      <c r="A234" t="s">
        <v>55</v>
      </c>
      <c r="B234" t="s">
        <v>375</v>
      </c>
      <c r="C234" s="2">
        <v>46230</v>
      </c>
      <c r="D234" s="3">
        <v>19581</v>
      </c>
      <c r="E234" s="2">
        <v>46230</v>
      </c>
      <c r="F234">
        <f t="shared" ca="1" si="6"/>
        <v>5</v>
      </c>
      <c r="G234" s="3">
        <f t="shared" si="7"/>
        <v>66432</v>
      </c>
    </row>
    <row r="235" spans="1:7">
      <c r="A235" t="s">
        <v>55</v>
      </c>
      <c r="B235" t="s">
        <v>376</v>
      </c>
      <c r="C235" s="2">
        <v>46230</v>
      </c>
      <c r="D235" s="3">
        <v>315</v>
      </c>
      <c r="E235" s="2">
        <v>46230</v>
      </c>
      <c r="F235">
        <f t="shared" ca="1" si="6"/>
        <v>5</v>
      </c>
      <c r="G235" s="3">
        <f t="shared" si="7"/>
        <v>66432</v>
      </c>
    </row>
    <row r="236" spans="1:7">
      <c r="A236" t="s">
        <v>56</v>
      </c>
      <c r="B236" t="s">
        <v>377</v>
      </c>
      <c r="C236" s="2">
        <v>46184</v>
      </c>
      <c r="D236" s="3">
        <v>7596</v>
      </c>
      <c r="E236" s="2">
        <v>46184</v>
      </c>
      <c r="F236">
        <f t="shared" ca="1" si="6"/>
        <v>51</v>
      </c>
      <c r="G236" s="3">
        <f t="shared" si="7"/>
        <v>12136</v>
      </c>
    </row>
    <row r="237" spans="1:7">
      <c r="A237" t="s">
        <v>56</v>
      </c>
      <c r="B237" t="s">
        <v>378</v>
      </c>
      <c r="C237" s="2">
        <v>46188</v>
      </c>
      <c r="D237" s="3">
        <v>3798</v>
      </c>
      <c r="E237" s="2">
        <v>46188</v>
      </c>
      <c r="F237">
        <f t="shared" ca="1" si="6"/>
        <v>47</v>
      </c>
      <c r="G237" s="3">
        <f t="shared" si="7"/>
        <v>12136</v>
      </c>
    </row>
    <row r="238" spans="1:7">
      <c r="A238" t="s">
        <v>56</v>
      </c>
      <c r="B238" t="s">
        <v>379</v>
      </c>
      <c r="C238" s="2">
        <v>46191</v>
      </c>
      <c r="D238" s="3">
        <v>742</v>
      </c>
      <c r="E238" s="2">
        <v>46191</v>
      </c>
      <c r="F238">
        <f t="shared" ca="1" si="6"/>
        <v>44</v>
      </c>
      <c r="G238" s="3">
        <f t="shared" si="7"/>
        <v>12136</v>
      </c>
    </row>
    <row r="239" spans="1:7">
      <c r="A239" t="s">
        <v>57</v>
      </c>
      <c r="B239" t="s">
        <v>380</v>
      </c>
      <c r="C239" s="2">
        <v>46214</v>
      </c>
      <c r="D239" s="3">
        <v>178</v>
      </c>
      <c r="E239" s="2">
        <v>46214</v>
      </c>
      <c r="F239">
        <f t="shared" ca="1" si="6"/>
        <v>21</v>
      </c>
      <c r="G239" s="3">
        <f t="shared" si="7"/>
        <v>178</v>
      </c>
    </row>
    <row r="240" spans="1:7">
      <c r="A240" t="s">
        <v>58</v>
      </c>
      <c r="B240" t="s">
        <v>381</v>
      </c>
      <c r="C240" s="2">
        <v>46219</v>
      </c>
      <c r="D240" s="3">
        <v>23364</v>
      </c>
      <c r="E240" s="2">
        <v>46219</v>
      </c>
      <c r="F240">
        <f t="shared" ca="1" si="6"/>
        <v>16</v>
      </c>
      <c r="G240" s="3">
        <f t="shared" si="7"/>
        <v>28320</v>
      </c>
    </row>
    <row r="241" spans="1:7">
      <c r="A241" t="s">
        <v>58</v>
      </c>
      <c r="B241" t="s">
        <v>382</v>
      </c>
      <c r="C241" s="2">
        <v>46223</v>
      </c>
      <c r="D241" s="3">
        <v>4956</v>
      </c>
      <c r="E241" s="2">
        <v>46223</v>
      </c>
      <c r="F241">
        <f t="shared" ca="1" si="6"/>
        <v>12</v>
      </c>
      <c r="G241" s="3">
        <f t="shared" si="7"/>
        <v>28320</v>
      </c>
    </row>
    <row r="242" spans="1:7">
      <c r="A242" t="s">
        <v>59</v>
      </c>
      <c r="B242" t="s">
        <v>383</v>
      </c>
      <c r="C242" s="2">
        <v>46198</v>
      </c>
      <c r="D242" s="3">
        <v>2950</v>
      </c>
      <c r="E242" s="2">
        <v>46198</v>
      </c>
      <c r="F242">
        <f t="shared" ca="1" si="6"/>
        <v>37</v>
      </c>
      <c r="G242" s="3">
        <f t="shared" si="7"/>
        <v>180026</v>
      </c>
    </row>
    <row r="243" spans="1:7">
      <c r="A243" t="s">
        <v>59</v>
      </c>
      <c r="B243" t="s">
        <v>384</v>
      </c>
      <c r="C243" s="2">
        <v>46198</v>
      </c>
      <c r="D243" s="3">
        <v>36694</v>
      </c>
      <c r="E243" s="2">
        <v>46198</v>
      </c>
      <c r="F243">
        <f t="shared" ca="1" si="6"/>
        <v>37</v>
      </c>
      <c r="G243" s="3">
        <f t="shared" si="7"/>
        <v>180026</v>
      </c>
    </row>
    <row r="244" spans="1:7">
      <c r="A244" t="s">
        <v>59</v>
      </c>
      <c r="B244" t="s">
        <v>385</v>
      </c>
      <c r="C244" s="2">
        <v>46199</v>
      </c>
      <c r="D244" s="3">
        <v>10891</v>
      </c>
      <c r="E244" s="2">
        <v>46199</v>
      </c>
      <c r="F244">
        <f t="shared" ca="1" si="6"/>
        <v>36</v>
      </c>
      <c r="G244" s="3">
        <f t="shared" si="7"/>
        <v>180026</v>
      </c>
    </row>
    <row r="245" spans="1:7">
      <c r="A245" t="s">
        <v>59</v>
      </c>
      <c r="B245" t="s">
        <v>386</v>
      </c>
      <c r="C245" s="2">
        <v>46203</v>
      </c>
      <c r="D245" s="3">
        <v>36150</v>
      </c>
      <c r="E245" s="2">
        <v>46203</v>
      </c>
      <c r="F245">
        <f t="shared" ca="1" si="6"/>
        <v>32</v>
      </c>
      <c r="G245" s="3">
        <f t="shared" si="7"/>
        <v>180026</v>
      </c>
    </row>
    <row r="246" spans="1:7">
      <c r="A246" t="s">
        <v>59</v>
      </c>
      <c r="B246" t="s">
        <v>387</v>
      </c>
      <c r="C246" s="2">
        <v>46204</v>
      </c>
      <c r="D246" s="3">
        <v>1890</v>
      </c>
      <c r="E246" s="2">
        <v>46204</v>
      </c>
      <c r="F246">
        <f t="shared" ca="1" si="6"/>
        <v>31</v>
      </c>
      <c r="G246" s="3">
        <f t="shared" si="7"/>
        <v>180026</v>
      </c>
    </row>
    <row r="247" spans="1:7">
      <c r="A247" t="s">
        <v>59</v>
      </c>
      <c r="B247" t="s">
        <v>388</v>
      </c>
      <c r="C247" s="2">
        <v>46218</v>
      </c>
      <c r="D247" s="3">
        <v>44368</v>
      </c>
      <c r="E247" s="2">
        <v>46218</v>
      </c>
      <c r="F247">
        <f t="shared" ca="1" si="6"/>
        <v>17</v>
      </c>
      <c r="G247" s="3">
        <f t="shared" si="7"/>
        <v>180026</v>
      </c>
    </row>
    <row r="248" spans="1:7">
      <c r="A248" t="s">
        <v>59</v>
      </c>
      <c r="B248" t="s">
        <v>389</v>
      </c>
      <c r="C248" s="2">
        <v>46221</v>
      </c>
      <c r="D248" s="3">
        <v>8614</v>
      </c>
      <c r="E248" s="2">
        <v>46221</v>
      </c>
      <c r="F248">
        <f t="shared" ca="1" si="6"/>
        <v>14</v>
      </c>
      <c r="G248" s="3">
        <f t="shared" si="7"/>
        <v>180026</v>
      </c>
    </row>
    <row r="249" spans="1:7">
      <c r="A249" t="s">
        <v>59</v>
      </c>
      <c r="B249" t="s">
        <v>390</v>
      </c>
      <c r="C249" s="2">
        <v>46225</v>
      </c>
      <c r="D249" s="3">
        <v>945</v>
      </c>
      <c r="E249" s="2">
        <v>46225</v>
      </c>
      <c r="F249">
        <f t="shared" ca="1" si="6"/>
        <v>10</v>
      </c>
      <c r="G249" s="3">
        <f t="shared" si="7"/>
        <v>180026</v>
      </c>
    </row>
    <row r="250" spans="1:7">
      <c r="A250" t="s">
        <v>59</v>
      </c>
      <c r="B250" t="s">
        <v>391</v>
      </c>
      <c r="C250" s="2">
        <v>46226</v>
      </c>
      <c r="D250" s="3">
        <v>7788</v>
      </c>
      <c r="E250" s="2">
        <v>46226</v>
      </c>
      <c r="F250">
        <f t="shared" ca="1" si="6"/>
        <v>9</v>
      </c>
      <c r="G250" s="3">
        <f t="shared" si="7"/>
        <v>180026</v>
      </c>
    </row>
    <row r="251" spans="1:7">
      <c r="A251" t="s">
        <v>59</v>
      </c>
      <c r="B251" t="s">
        <v>392</v>
      </c>
      <c r="C251" s="2">
        <v>46230</v>
      </c>
      <c r="D251" s="3">
        <v>29736</v>
      </c>
      <c r="E251" s="2">
        <v>46230</v>
      </c>
      <c r="F251">
        <f t="shared" ca="1" si="6"/>
        <v>5</v>
      </c>
      <c r="G251" s="3">
        <f t="shared" si="7"/>
        <v>180026</v>
      </c>
    </row>
    <row r="252" spans="1:7">
      <c r="A252" t="s">
        <v>60</v>
      </c>
      <c r="B252" t="s">
        <v>393</v>
      </c>
      <c r="C252" s="2">
        <v>45936</v>
      </c>
      <c r="D252" s="3">
        <v>46728</v>
      </c>
      <c r="E252" s="2">
        <v>45936</v>
      </c>
      <c r="F252">
        <f t="shared" ca="1" si="6"/>
        <v>299</v>
      </c>
      <c r="G252" s="3">
        <f t="shared" si="7"/>
        <v>78587</v>
      </c>
    </row>
    <row r="253" spans="1:7">
      <c r="A253" t="s">
        <v>60</v>
      </c>
      <c r="B253" t="s">
        <v>394</v>
      </c>
      <c r="C253" s="2">
        <v>46051</v>
      </c>
      <c r="D253" s="3">
        <v>4720</v>
      </c>
      <c r="E253" s="2">
        <v>46051</v>
      </c>
      <c r="F253">
        <f t="shared" ca="1" si="6"/>
        <v>184</v>
      </c>
      <c r="G253" s="3">
        <f t="shared" si="7"/>
        <v>78587</v>
      </c>
    </row>
    <row r="254" spans="1:7">
      <c r="A254" t="s">
        <v>60</v>
      </c>
      <c r="B254" t="s">
        <v>395</v>
      </c>
      <c r="C254" s="2">
        <v>46062</v>
      </c>
      <c r="D254" s="3">
        <v>2950</v>
      </c>
      <c r="E254" s="2">
        <v>46062</v>
      </c>
      <c r="F254">
        <f t="shared" ca="1" si="6"/>
        <v>173</v>
      </c>
      <c r="G254" s="3">
        <f t="shared" si="7"/>
        <v>78587</v>
      </c>
    </row>
    <row r="255" spans="1:7">
      <c r="A255" t="s">
        <v>60</v>
      </c>
      <c r="B255" t="s">
        <v>396</v>
      </c>
      <c r="C255" s="2">
        <v>46102</v>
      </c>
      <c r="D255" s="3">
        <v>5900</v>
      </c>
      <c r="E255" s="2">
        <v>46102</v>
      </c>
      <c r="F255">
        <f t="shared" ca="1" si="6"/>
        <v>133</v>
      </c>
      <c r="G255" s="3">
        <f t="shared" si="7"/>
        <v>78587</v>
      </c>
    </row>
    <row r="256" spans="1:7">
      <c r="A256" t="s">
        <v>60</v>
      </c>
      <c r="B256" t="s">
        <v>397</v>
      </c>
      <c r="C256" s="2">
        <v>46174</v>
      </c>
      <c r="D256" s="3">
        <v>17699</v>
      </c>
      <c r="E256" s="2">
        <v>46174</v>
      </c>
      <c r="F256">
        <f t="shared" ca="1" si="6"/>
        <v>61</v>
      </c>
      <c r="G256" s="3">
        <f t="shared" si="7"/>
        <v>78587</v>
      </c>
    </row>
    <row r="257" spans="1:7">
      <c r="A257" t="s">
        <v>60</v>
      </c>
      <c r="B257" t="s">
        <v>398</v>
      </c>
      <c r="C257" s="2">
        <v>46198</v>
      </c>
      <c r="D257" s="3">
        <v>590</v>
      </c>
      <c r="E257" s="2">
        <v>46198</v>
      </c>
      <c r="F257">
        <f t="shared" ca="1" si="6"/>
        <v>37</v>
      </c>
      <c r="G257" s="3">
        <f t="shared" si="7"/>
        <v>78587</v>
      </c>
    </row>
    <row r="258" spans="1:7">
      <c r="A258" t="s">
        <v>61</v>
      </c>
      <c r="B258" t="s">
        <v>399</v>
      </c>
      <c r="C258" s="2">
        <v>46235</v>
      </c>
      <c r="D258" s="3">
        <v>1770</v>
      </c>
      <c r="E258" s="2">
        <v>46235</v>
      </c>
      <c r="F258">
        <f t="shared" ca="1" si="6"/>
        <v>0</v>
      </c>
      <c r="G258" s="3">
        <f t="shared" si="7"/>
        <v>1770</v>
      </c>
    </row>
    <row r="259" spans="1:7">
      <c r="A259" t="s">
        <v>62</v>
      </c>
      <c r="B259" t="s">
        <v>400</v>
      </c>
      <c r="C259" s="2">
        <v>46210</v>
      </c>
      <c r="D259" s="3">
        <v>675</v>
      </c>
      <c r="E259" s="2">
        <v>46210</v>
      </c>
      <c r="F259">
        <f t="shared" ca="1" si="6"/>
        <v>25</v>
      </c>
      <c r="G259" s="3">
        <f t="shared" si="7"/>
        <v>675</v>
      </c>
    </row>
    <row r="260" spans="1:7">
      <c r="A260" t="s">
        <v>63</v>
      </c>
      <c r="B260" t="s">
        <v>401</v>
      </c>
      <c r="C260" s="2">
        <v>46185</v>
      </c>
      <c r="D260" s="3">
        <v>1605</v>
      </c>
      <c r="E260" s="2">
        <v>46185</v>
      </c>
      <c r="F260">
        <f t="shared" ca="1" si="6"/>
        <v>50</v>
      </c>
      <c r="G260" s="3">
        <f t="shared" si="7"/>
        <v>1605</v>
      </c>
    </row>
    <row r="261" spans="1:7">
      <c r="A261" t="s">
        <v>64</v>
      </c>
      <c r="B261" t="s">
        <v>402</v>
      </c>
      <c r="C261" s="2">
        <v>46235</v>
      </c>
      <c r="D261" s="3">
        <v>3500</v>
      </c>
      <c r="E261" s="2">
        <v>46235</v>
      </c>
      <c r="F261">
        <f t="shared" ref="F261:F324" ca="1" si="8">TODAY()-E261</f>
        <v>0</v>
      </c>
      <c r="G261" s="3">
        <f t="shared" ref="G261:G324" si="9">SUMIF($A$5:$A$563,A261,$D$5:$D$563)</f>
        <v>3500</v>
      </c>
    </row>
    <row r="262" spans="1:7">
      <c r="A262" t="s">
        <v>65</v>
      </c>
      <c r="B262" t="s">
        <v>403</v>
      </c>
      <c r="C262" s="2">
        <v>46162</v>
      </c>
      <c r="D262" s="3">
        <v>720</v>
      </c>
      <c r="E262" s="2">
        <v>46162</v>
      </c>
      <c r="F262">
        <f t="shared" ca="1" si="8"/>
        <v>73</v>
      </c>
      <c r="G262" s="3">
        <f t="shared" si="9"/>
        <v>8114</v>
      </c>
    </row>
    <row r="263" spans="1:7">
      <c r="A263" t="s">
        <v>65</v>
      </c>
      <c r="B263" t="s">
        <v>404</v>
      </c>
      <c r="C263" s="2">
        <v>46175</v>
      </c>
      <c r="D263" s="3">
        <v>1057</v>
      </c>
      <c r="E263" s="2">
        <v>46175</v>
      </c>
      <c r="F263">
        <f t="shared" ca="1" si="8"/>
        <v>60</v>
      </c>
      <c r="G263" s="3">
        <f t="shared" si="9"/>
        <v>8114</v>
      </c>
    </row>
    <row r="264" spans="1:7">
      <c r="A264" t="s">
        <v>65</v>
      </c>
      <c r="B264" t="s">
        <v>405</v>
      </c>
      <c r="C264" s="2">
        <v>46181</v>
      </c>
      <c r="D264" s="3">
        <v>2420</v>
      </c>
      <c r="E264" s="2">
        <v>46181</v>
      </c>
      <c r="F264">
        <f t="shared" ca="1" si="8"/>
        <v>54</v>
      </c>
      <c r="G264" s="3">
        <f t="shared" si="9"/>
        <v>8114</v>
      </c>
    </row>
    <row r="265" spans="1:7">
      <c r="A265" t="s">
        <v>65</v>
      </c>
      <c r="B265" t="s">
        <v>406</v>
      </c>
      <c r="C265" s="2">
        <v>46207</v>
      </c>
      <c r="D265" s="3">
        <v>2160</v>
      </c>
      <c r="E265" s="2">
        <v>46207</v>
      </c>
      <c r="F265">
        <f t="shared" ca="1" si="8"/>
        <v>28</v>
      </c>
      <c r="G265" s="3">
        <f t="shared" si="9"/>
        <v>8114</v>
      </c>
    </row>
    <row r="266" spans="1:7">
      <c r="A266" t="s">
        <v>65</v>
      </c>
      <c r="B266" t="s">
        <v>407</v>
      </c>
      <c r="C266" s="2">
        <v>46219</v>
      </c>
      <c r="D266" s="3">
        <v>1757</v>
      </c>
      <c r="E266" s="2">
        <v>46219</v>
      </c>
      <c r="F266">
        <f t="shared" ca="1" si="8"/>
        <v>16</v>
      </c>
      <c r="G266" s="3">
        <f t="shared" si="9"/>
        <v>8114</v>
      </c>
    </row>
    <row r="267" spans="1:7">
      <c r="A267" t="s">
        <v>66</v>
      </c>
      <c r="B267" t="s">
        <v>408</v>
      </c>
      <c r="C267" s="2">
        <v>46231</v>
      </c>
      <c r="D267" s="3">
        <v>880</v>
      </c>
      <c r="E267" s="2">
        <v>46231</v>
      </c>
      <c r="F267">
        <f t="shared" ca="1" si="8"/>
        <v>4</v>
      </c>
      <c r="G267" s="3">
        <f t="shared" si="9"/>
        <v>880</v>
      </c>
    </row>
    <row r="268" spans="1:7">
      <c r="A268" t="s">
        <v>67</v>
      </c>
      <c r="B268" t="s">
        <v>409</v>
      </c>
      <c r="C268" s="2">
        <v>46210</v>
      </c>
      <c r="D268" s="3">
        <v>7670</v>
      </c>
      <c r="E268" s="2">
        <v>46210</v>
      </c>
      <c r="F268">
        <f t="shared" ca="1" si="8"/>
        <v>25</v>
      </c>
      <c r="G268" s="3">
        <f t="shared" si="9"/>
        <v>7670</v>
      </c>
    </row>
    <row r="269" spans="1:7">
      <c r="A269" t="s">
        <v>68</v>
      </c>
      <c r="B269" t="s">
        <v>410</v>
      </c>
      <c r="C269" s="2">
        <v>45944</v>
      </c>
      <c r="D269" s="3">
        <v>13000</v>
      </c>
      <c r="E269" s="2">
        <v>45944</v>
      </c>
      <c r="F269">
        <f t="shared" ca="1" si="8"/>
        <v>291</v>
      </c>
      <c r="G269" s="3">
        <f t="shared" si="9"/>
        <v>13000</v>
      </c>
    </row>
    <row r="270" spans="1:7">
      <c r="A270" t="s">
        <v>69</v>
      </c>
      <c r="B270" t="s">
        <v>411</v>
      </c>
      <c r="C270" s="2">
        <v>46183</v>
      </c>
      <c r="D270" s="3">
        <v>4500</v>
      </c>
      <c r="E270" s="2">
        <v>46183</v>
      </c>
      <c r="F270">
        <f t="shared" ca="1" si="8"/>
        <v>52</v>
      </c>
      <c r="G270" s="3">
        <f t="shared" si="9"/>
        <v>4500</v>
      </c>
    </row>
    <row r="271" spans="1:7">
      <c r="A271" t="s">
        <v>70</v>
      </c>
      <c r="B271" t="s">
        <v>412</v>
      </c>
      <c r="C271" s="2">
        <v>46199</v>
      </c>
      <c r="D271" s="3">
        <v>1200</v>
      </c>
      <c r="E271" s="2">
        <v>46199</v>
      </c>
      <c r="F271">
        <f t="shared" ca="1" si="8"/>
        <v>36</v>
      </c>
      <c r="G271" s="3">
        <f t="shared" si="9"/>
        <v>1200</v>
      </c>
    </row>
    <row r="272" spans="1:7">
      <c r="A272" t="s">
        <v>71</v>
      </c>
      <c r="B272" t="s">
        <v>413</v>
      </c>
      <c r="C272" s="2">
        <v>46203</v>
      </c>
      <c r="D272" s="3">
        <v>3150</v>
      </c>
      <c r="E272" s="2">
        <v>46203</v>
      </c>
      <c r="F272">
        <f t="shared" ca="1" si="8"/>
        <v>32</v>
      </c>
      <c r="G272" s="3">
        <f t="shared" si="9"/>
        <v>3150</v>
      </c>
    </row>
    <row r="273" spans="1:7">
      <c r="A273" t="s">
        <v>72</v>
      </c>
      <c r="B273" t="s">
        <v>414</v>
      </c>
      <c r="C273" s="2">
        <v>46144</v>
      </c>
      <c r="D273" s="3">
        <v>4000</v>
      </c>
      <c r="E273" s="2">
        <v>46144</v>
      </c>
      <c r="F273">
        <f t="shared" ca="1" si="8"/>
        <v>91</v>
      </c>
      <c r="G273" s="3">
        <f t="shared" si="9"/>
        <v>112332</v>
      </c>
    </row>
    <row r="274" spans="1:7">
      <c r="A274" t="s">
        <v>72</v>
      </c>
      <c r="B274" t="s">
        <v>415</v>
      </c>
      <c r="C274" s="2">
        <v>46148</v>
      </c>
      <c r="D274" s="3">
        <v>42010</v>
      </c>
      <c r="E274" s="2">
        <v>46148</v>
      </c>
      <c r="F274">
        <f t="shared" ca="1" si="8"/>
        <v>87</v>
      </c>
      <c r="G274" s="3">
        <f t="shared" si="9"/>
        <v>112332</v>
      </c>
    </row>
    <row r="275" spans="1:7">
      <c r="A275" t="s">
        <v>72</v>
      </c>
      <c r="B275" t="s">
        <v>416</v>
      </c>
      <c r="C275" s="2">
        <v>46151</v>
      </c>
      <c r="D275" s="3">
        <v>880</v>
      </c>
      <c r="E275" s="2">
        <v>46151</v>
      </c>
      <c r="F275">
        <f t="shared" ca="1" si="8"/>
        <v>84</v>
      </c>
      <c r="G275" s="3">
        <f t="shared" si="9"/>
        <v>112332</v>
      </c>
    </row>
    <row r="276" spans="1:7">
      <c r="A276" t="s">
        <v>72</v>
      </c>
      <c r="B276" t="s">
        <v>417</v>
      </c>
      <c r="C276" s="2">
        <v>46154</v>
      </c>
      <c r="D276" s="3">
        <v>14091</v>
      </c>
      <c r="E276" s="2">
        <v>46154</v>
      </c>
      <c r="F276">
        <f t="shared" ca="1" si="8"/>
        <v>81</v>
      </c>
      <c r="G276" s="3">
        <f t="shared" si="9"/>
        <v>112332</v>
      </c>
    </row>
    <row r="277" spans="1:7">
      <c r="A277" t="s">
        <v>72</v>
      </c>
      <c r="B277" t="s">
        <v>418</v>
      </c>
      <c r="C277" s="2">
        <v>46165</v>
      </c>
      <c r="D277" s="3">
        <v>12436</v>
      </c>
      <c r="E277" s="2">
        <v>46165</v>
      </c>
      <c r="F277">
        <f t="shared" ca="1" si="8"/>
        <v>70</v>
      </c>
      <c r="G277" s="3">
        <f t="shared" si="9"/>
        <v>112332</v>
      </c>
    </row>
    <row r="278" spans="1:7">
      <c r="A278" t="s">
        <v>72</v>
      </c>
      <c r="B278" t="s">
        <v>419</v>
      </c>
      <c r="C278" s="2">
        <v>46172</v>
      </c>
      <c r="D278" s="3">
        <v>4257</v>
      </c>
      <c r="E278" s="2">
        <v>46172</v>
      </c>
      <c r="F278">
        <f t="shared" ca="1" si="8"/>
        <v>63</v>
      </c>
      <c r="G278" s="3">
        <f t="shared" si="9"/>
        <v>112332</v>
      </c>
    </row>
    <row r="279" spans="1:7">
      <c r="A279" t="s">
        <v>72</v>
      </c>
      <c r="B279" t="s">
        <v>420</v>
      </c>
      <c r="C279" s="2">
        <v>46177</v>
      </c>
      <c r="D279" s="3">
        <v>22838</v>
      </c>
      <c r="E279" s="2">
        <v>46177</v>
      </c>
      <c r="F279">
        <f t="shared" ca="1" si="8"/>
        <v>58</v>
      </c>
      <c r="G279" s="3">
        <f t="shared" si="9"/>
        <v>112332</v>
      </c>
    </row>
    <row r="280" spans="1:7">
      <c r="A280" t="s">
        <v>72</v>
      </c>
      <c r="B280" t="s">
        <v>421</v>
      </c>
      <c r="C280" s="2">
        <v>46179</v>
      </c>
      <c r="D280" s="3">
        <v>2250</v>
      </c>
      <c r="E280" s="2">
        <v>46179</v>
      </c>
      <c r="F280">
        <f t="shared" ca="1" si="8"/>
        <v>56</v>
      </c>
      <c r="G280" s="3">
        <f t="shared" si="9"/>
        <v>112332</v>
      </c>
    </row>
    <row r="281" spans="1:7">
      <c r="A281" t="s">
        <v>72</v>
      </c>
      <c r="B281" t="s">
        <v>422</v>
      </c>
      <c r="C281" s="2">
        <v>46186</v>
      </c>
      <c r="D281" s="3">
        <v>1598</v>
      </c>
      <c r="E281" s="2">
        <v>46186</v>
      </c>
      <c r="F281">
        <f t="shared" ca="1" si="8"/>
        <v>49</v>
      </c>
      <c r="G281" s="3">
        <f t="shared" si="9"/>
        <v>112332</v>
      </c>
    </row>
    <row r="282" spans="1:7">
      <c r="A282" t="s">
        <v>72</v>
      </c>
      <c r="B282" t="s">
        <v>423</v>
      </c>
      <c r="C282" s="2">
        <v>46218</v>
      </c>
      <c r="D282" s="3">
        <v>5963</v>
      </c>
      <c r="E282" s="2">
        <v>46218</v>
      </c>
      <c r="F282">
        <f t="shared" ca="1" si="8"/>
        <v>17</v>
      </c>
      <c r="G282" s="3">
        <f t="shared" si="9"/>
        <v>112332</v>
      </c>
    </row>
    <row r="283" spans="1:7">
      <c r="A283" t="s">
        <v>72</v>
      </c>
      <c r="B283" t="s">
        <v>424</v>
      </c>
      <c r="C283" s="2">
        <v>46224</v>
      </c>
      <c r="D283" s="3">
        <v>2009</v>
      </c>
      <c r="E283" s="2">
        <v>46224</v>
      </c>
      <c r="F283">
        <f t="shared" ca="1" si="8"/>
        <v>11</v>
      </c>
      <c r="G283" s="3">
        <f t="shared" si="9"/>
        <v>112332</v>
      </c>
    </row>
    <row r="284" spans="1:7">
      <c r="A284" t="s">
        <v>73</v>
      </c>
      <c r="B284" t="s">
        <v>425</v>
      </c>
      <c r="C284" s="2">
        <v>46136</v>
      </c>
      <c r="D284" s="3">
        <v>1623</v>
      </c>
      <c r="E284" s="2">
        <v>46136</v>
      </c>
      <c r="F284">
        <f t="shared" ca="1" si="8"/>
        <v>99</v>
      </c>
      <c r="G284" s="3">
        <f t="shared" si="9"/>
        <v>1623</v>
      </c>
    </row>
    <row r="285" spans="1:7">
      <c r="A285" t="s">
        <v>74</v>
      </c>
      <c r="B285" t="s">
        <v>426</v>
      </c>
      <c r="C285" s="2">
        <v>46232</v>
      </c>
      <c r="D285" s="3">
        <v>3900</v>
      </c>
      <c r="E285" s="2">
        <v>46232</v>
      </c>
      <c r="F285">
        <f t="shared" ca="1" si="8"/>
        <v>3</v>
      </c>
      <c r="G285" s="3">
        <f t="shared" si="9"/>
        <v>3900</v>
      </c>
    </row>
    <row r="286" spans="1:7">
      <c r="A286" t="s">
        <v>75</v>
      </c>
      <c r="B286" t="s">
        <v>427</v>
      </c>
      <c r="C286" s="2">
        <v>46235</v>
      </c>
      <c r="D286" s="3">
        <v>1168</v>
      </c>
      <c r="E286" s="2">
        <v>46235</v>
      </c>
      <c r="F286">
        <f t="shared" ca="1" si="8"/>
        <v>0</v>
      </c>
      <c r="G286" s="3">
        <f t="shared" si="9"/>
        <v>1168</v>
      </c>
    </row>
    <row r="287" spans="1:7">
      <c r="A287" t="s">
        <v>76</v>
      </c>
      <c r="B287" t="s">
        <v>428</v>
      </c>
      <c r="C287" s="2">
        <v>46179</v>
      </c>
      <c r="D287" s="3">
        <v>74892</v>
      </c>
      <c r="E287" s="2">
        <v>46179</v>
      </c>
      <c r="F287">
        <f t="shared" ca="1" si="8"/>
        <v>56</v>
      </c>
      <c r="G287" s="3">
        <f t="shared" si="9"/>
        <v>182236</v>
      </c>
    </row>
    <row r="288" spans="1:7">
      <c r="A288" t="s">
        <v>76</v>
      </c>
      <c r="B288" t="s">
        <v>429</v>
      </c>
      <c r="C288" s="2">
        <v>46186</v>
      </c>
      <c r="D288" s="3">
        <v>20591</v>
      </c>
      <c r="E288" s="2">
        <v>46186</v>
      </c>
      <c r="F288">
        <f t="shared" ca="1" si="8"/>
        <v>49</v>
      </c>
      <c r="G288" s="3">
        <f t="shared" si="9"/>
        <v>182236</v>
      </c>
    </row>
    <row r="289" spans="1:7">
      <c r="A289" t="s">
        <v>76</v>
      </c>
      <c r="B289" t="s">
        <v>430</v>
      </c>
      <c r="C289" s="2">
        <v>46200</v>
      </c>
      <c r="D289" s="3">
        <v>19910</v>
      </c>
      <c r="E289" s="2">
        <v>46200</v>
      </c>
      <c r="F289">
        <f t="shared" ca="1" si="8"/>
        <v>35</v>
      </c>
      <c r="G289" s="3">
        <f t="shared" si="9"/>
        <v>182236</v>
      </c>
    </row>
    <row r="290" spans="1:7">
      <c r="A290" t="s">
        <v>76</v>
      </c>
      <c r="B290" t="s">
        <v>431</v>
      </c>
      <c r="C290" s="2">
        <v>46214</v>
      </c>
      <c r="D290" s="3">
        <v>13547</v>
      </c>
      <c r="E290" s="2">
        <v>46214</v>
      </c>
      <c r="F290">
        <f t="shared" ca="1" si="8"/>
        <v>21</v>
      </c>
      <c r="G290" s="3">
        <f t="shared" si="9"/>
        <v>182236</v>
      </c>
    </row>
    <row r="291" spans="1:7">
      <c r="A291" t="s">
        <v>76</v>
      </c>
      <c r="B291" t="s">
        <v>432</v>
      </c>
      <c r="C291" s="2">
        <v>46218</v>
      </c>
      <c r="D291" s="3">
        <v>41000</v>
      </c>
      <c r="E291" s="2">
        <v>46218</v>
      </c>
      <c r="F291">
        <f t="shared" ca="1" si="8"/>
        <v>17</v>
      </c>
      <c r="G291" s="3">
        <f t="shared" si="9"/>
        <v>182236</v>
      </c>
    </row>
    <row r="292" spans="1:7">
      <c r="A292" t="s">
        <v>76</v>
      </c>
      <c r="B292" t="s">
        <v>433</v>
      </c>
      <c r="C292" s="2">
        <v>46235</v>
      </c>
      <c r="D292" s="3">
        <v>12296</v>
      </c>
      <c r="E292" s="2">
        <v>46235</v>
      </c>
      <c r="F292">
        <f t="shared" ca="1" si="8"/>
        <v>0</v>
      </c>
      <c r="G292" s="3">
        <f t="shared" si="9"/>
        <v>182236</v>
      </c>
    </row>
    <row r="293" spans="1:7">
      <c r="A293" t="s">
        <v>77</v>
      </c>
      <c r="B293" t="s">
        <v>434</v>
      </c>
      <c r="C293" s="2">
        <v>46179</v>
      </c>
      <c r="D293" s="3">
        <v>56</v>
      </c>
      <c r="E293" s="2">
        <v>46179</v>
      </c>
      <c r="F293">
        <f t="shared" ca="1" si="8"/>
        <v>56</v>
      </c>
      <c r="G293" s="3">
        <f t="shared" si="9"/>
        <v>56</v>
      </c>
    </row>
    <row r="294" spans="1:7">
      <c r="A294" t="s">
        <v>78</v>
      </c>
      <c r="B294" t="s">
        <v>435</v>
      </c>
      <c r="C294" s="2">
        <v>46133</v>
      </c>
      <c r="D294" s="3">
        <v>15000</v>
      </c>
      <c r="E294" s="2">
        <v>46133</v>
      </c>
      <c r="F294">
        <f t="shared" ca="1" si="8"/>
        <v>102</v>
      </c>
      <c r="G294" s="3">
        <f t="shared" si="9"/>
        <v>28750</v>
      </c>
    </row>
    <row r="295" spans="1:7">
      <c r="A295" t="s">
        <v>78</v>
      </c>
      <c r="B295" t="s">
        <v>436</v>
      </c>
      <c r="C295" s="2">
        <v>46150</v>
      </c>
      <c r="D295" s="3">
        <v>4200</v>
      </c>
      <c r="E295" s="2">
        <v>46150</v>
      </c>
      <c r="F295">
        <f t="shared" ca="1" si="8"/>
        <v>85</v>
      </c>
      <c r="G295" s="3">
        <f t="shared" si="9"/>
        <v>28750</v>
      </c>
    </row>
    <row r="296" spans="1:7">
      <c r="A296" t="s">
        <v>78</v>
      </c>
      <c r="B296" t="s">
        <v>437</v>
      </c>
      <c r="C296" s="2">
        <v>46177</v>
      </c>
      <c r="D296" s="3">
        <v>2650</v>
      </c>
      <c r="E296" s="2">
        <v>46177</v>
      </c>
      <c r="F296">
        <f t="shared" ca="1" si="8"/>
        <v>58</v>
      </c>
      <c r="G296" s="3">
        <f t="shared" si="9"/>
        <v>28750</v>
      </c>
    </row>
    <row r="297" spans="1:7">
      <c r="A297" t="s">
        <v>78</v>
      </c>
      <c r="B297" t="s">
        <v>438</v>
      </c>
      <c r="C297" s="2">
        <v>46188</v>
      </c>
      <c r="D297" s="3">
        <v>1300</v>
      </c>
      <c r="E297" s="2">
        <v>46188</v>
      </c>
      <c r="F297">
        <f t="shared" ca="1" si="8"/>
        <v>47</v>
      </c>
      <c r="G297" s="3">
        <f t="shared" si="9"/>
        <v>28750</v>
      </c>
    </row>
    <row r="298" spans="1:7">
      <c r="A298" t="s">
        <v>78</v>
      </c>
      <c r="B298" t="s">
        <v>439</v>
      </c>
      <c r="C298" s="2">
        <v>46204</v>
      </c>
      <c r="D298" s="3">
        <v>5600</v>
      </c>
      <c r="E298" s="2">
        <v>46204</v>
      </c>
      <c r="F298">
        <f t="shared" ca="1" si="8"/>
        <v>31</v>
      </c>
      <c r="G298" s="3">
        <f t="shared" si="9"/>
        <v>28750</v>
      </c>
    </row>
    <row r="299" spans="1:7">
      <c r="A299" t="s">
        <v>79</v>
      </c>
      <c r="B299" t="s">
        <v>440</v>
      </c>
      <c r="C299" s="2">
        <v>46113</v>
      </c>
      <c r="D299" s="3">
        <v>34668</v>
      </c>
      <c r="E299" s="2">
        <v>46113</v>
      </c>
      <c r="F299">
        <f t="shared" ca="1" si="8"/>
        <v>122</v>
      </c>
      <c r="G299" s="3">
        <f t="shared" si="9"/>
        <v>108563</v>
      </c>
    </row>
    <row r="300" spans="1:7">
      <c r="A300" t="s">
        <v>79</v>
      </c>
      <c r="B300" t="s">
        <v>441</v>
      </c>
      <c r="C300" s="2">
        <v>46151</v>
      </c>
      <c r="D300" s="3">
        <v>23296</v>
      </c>
      <c r="E300" s="2">
        <v>46151</v>
      </c>
      <c r="F300">
        <f t="shared" ca="1" si="8"/>
        <v>84</v>
      </c>
      <c r="G300" s="3">
        <f t="shared" si="9"/>
        <v>108563</v>
      </c>
    </row>
    <row r="301" spans="1:7">
      <c r="A301" t="s">
        <v>79</v>
      </c>
      <c r="B301" t="s">
        <v>442</v>
      </c>
      <c r="C301" s="2">
        <v>46172</v>
      </c>
      <c r="D301" s="3">
        <v>20670</v>
      </c>
      <c r="E301" s="2">
        <v>46172</v>
      </c>
      <c r="F301">
        <f t="shared" ca="1" si="8"/>
        <v>63</v>
      </c>
      <c r="G301" s="3">
        <f t="shared" si="9"/>
        <v>108563</v>
      </c>
    </row>
    <row r="302" spans="1:7">
      <c r="A302" t="s">
        <v>79</v>
      </c>
      <c r="B302" t="s">
        <v>443</v>
      </c>
      <c r="C302" s="2">
        <v>46172</v>
      </c>
      <c r="D302" s="3">
        <v>11800</v>
      </c>
      <c r="E302" s="2">
        <v>46172</v>
      </c>
      <c r="F302">
        <f t="shared" ca="1" si="8"/>
        <v>63</v>
      </c>
      <c r="G302" s="3">
        <f t="shared" si="9"/>
        <v>108563</v>
      </c>
    </row>
    <row r="303" spans="1:7">
      <c r="A303" t="s">
        <v>79</v>
      </c>
      <c r="B303" t="s">
        <v>444</v>
      </c>
      <c r="C303" s="2">
        <v>46212</v>
      </c>
      <c r="D303" s="3">
        <v>18129</v>
      </c>
      <c r="E303" s="2">
        <v>46212</v>
      </c>
      <c r="F303">
        <f t="shared" ca="1" si="8"/>
        <v>23</v>
      </c>
      <c r="G303" s="3">
        <f t="shared" si="9"/>
        <v>108563</v>
      </c>
    </row>
    <row r="304" spans="1:7">
      <c r="A304" t="s">
        <v>80</v>
      </c>
      <c r="B304" t="s">
        <v>445</v>
      </c>
      <c r="C304" s="2">
        <v>46220</v>
      </c>
      <c r="D304" s="3">
        <v>1760</v>
      </c>
      <c r="E304" s="2">
        <v>46220</v>
      </c>
      <c r="F304">
        <f t="shared" ca="1" si="8"/>
        <v>15</v>
      </c>
      <c r="G304" s="3">
        <f t="shared" si="9"/>
        <v>1760</v>
      </c>
    </row>
    <row r="305" spans="1:7">
      <c r="A305" t="s">
        <v>81</v>
      </c>
      <c r="B305" t="s">
        <v>446</v>
      </c>
      <c r="C305" s="2">
        <v>46203</v>
      </c>
      <c r="D305" s="3">
        <v>7357</v>
      </c>
      <c r="E305" s="2">
        <v>46203</v>
      </c>
      <c r="F305">
        <f t="shared" ca="1" si="8"/>
        <v>32</v>
      </c>
      <c r="G305" s="3">
        <f t="shared" si="9"/>
        <v>7357</v>
      </c>
    </row>
    <row r="306" spans="1:7">
      <c r="A306" t="s">
        <v>82</v>
      </c>
      <c r="B306" t="s">
        <v>447</v>
      </c>
      <c r="C306" s="2">
        <v>46186</v>
      </c>
      <c r="D306" s="3">
        <v>4017</v>
      </c>
      <c r="E306" s="2">
        <v>46186</v>
      </c>
      <c r="F306">
        <f t="shared" ca="1" si="8"/>
        <v>49</v>
      </c>
      <c r="G306" s="3">
        <f t="shared" si="9"/>
        <v>15171</v>
      </c>
    </row>
    <row r="307" spans="1:7">
      <c r="A307" t="s">
        <v>82</v>
      </c>
      <c r="B307" t="s">
        <v>448</v>
      </c>
      <c r="C307" s="2">
        <v>46200</v>
      </c>
      <c r="D307" s="3">
        <v>11154</v>
      </c>
      <c r="E307" s="2">
        <v>46200</v>
      </c>
      <c r="F307">
        <f t="shared" ca="1" si="8"/>
        <v>35</v>
      </c>
      <c r="G307" s="3">
        <f t="shared" si="9"/>
        <v>15171</v>
      </c>
    </row>
    <row r="308" spans="1:7">
      <c r="A308" t="s">
        <v>83</v>
      </c>
      <c r="B308" t="s">
        <v>449</v>
      </c>
      <c r="C308" s="2">
        <v>46158</v>
      </c>
      <c r="D308" s="3">
        <v>17175</v>
      </c>
      <c r="E308" s="2">
        <v>46158</v>
      </c>
      <c r="F308">
        <f t="shared" ca="1" si="8"/>
        <v>77</v>
      </c>
      <c r="G308" s="3">
        <f t="shared" si="9"/>
        <v>17175</v>
      </c>
    </row>
    <row r="309" spans="1:7">
      <c r="A309" t="s">
        <v>84</v>
      </c>
      <c r="B309" t="s">
        <v>450</v>
      </c>
      <c r="C309" s="2">
        <v>46198</v>
      </c>
      <c r="D309" s="3">
        <v>15400</v>
      </c>
      <c r="E309" s="2">
        <v>46198</v>
      </c>
      <c r="F309">
        <f t="shared" ca="1" si="8"/>
        <v>37</v>
      </c>
      <c r="G309" s="3">
        <f t="shared" si="9"/>
        <v>15925</v>
      </c>
    </row>
    <row r="310" spans="1:7">
      <c r="A310" t="s">
        <v>84</v>
      </c>
      <c r="B310" t="s">
        <v>451</v>
      </c>
      <c r="C310" s="2">
        <v>46200</v>
      </c>
      <c r="D310" s="3">
        <v>525</v>
      </c>
      <c r="E310" s="2">
        <v>46200</v>
      </c>
      <c r="F310">
        <f t="shared" ca="1" si="8"/>
        <v>35</v>
      </c>
      <c r="G310" s="3">
        <f t="shared" si="9"/>
        <v>15925</v>
      </c>
    </row>
    <row r="311" spans="1:7">
      <c r="A311" t="s">
        <v>85</v>
      </c>
      <c r="B311" t="s">
        <v>452</v>
      </c>
      <c r="C311" s="2">
        <v>46206</v>
      </c>
      <c r="D311" s="3">
        <v>295</v>
      </c>
      <c r="E311" s="2">
        <v>46206</v>
      </c>
      <c r="F311">
        <f t="shared" ca="1" si="8"/>
        <v>29</v>
      </c>
      <c r="G311" s="3">
        <f t="shared" si="9"/>
        <v>295</v>
      </c>
    </row>
    <row r="312" spans="1:7">
      <c r="A312" t="s">
        <v>86</v>
      </c>
      <c r="B312" t="s">
        <v>453</v>
      </c>
      <c r="C312" s="2">
        <v>46206</v>
      </c>
      <c r="D312" s="3">
        <v>2832</v>
      </c>
      <c r="E312" s="2">
        <v>46206</v>
      </c>
      <c r="F312">
        <f t="shared" ca="1" si="8"/>
        <v>29</v>
      </c>
      <c r="G312" s="3">
        <f t="shared" si="9"/>
        <v>2832</v>
      </c>
    </row>
    <row r="313" spans="1:7">
      <c r="A313" t="s">
        <v>87</v>
      </c>
      <c r="B313" t="s">
        <v>454</v>
      </c>
      <c r="C313" s="2">
        <v>46200</v>
      </c>
      <c r="D313" s="3">
        <v>44775</v>
      </c>
      <c r="E313" s="2">
        <v>46200</v>
      </c>
      <c r="F313">
        <f t="shared" ca="1" si="8"/>
        <v>35</v>
      </c>
      <c r="G313" s="3">
        <f t="shared" si="9"/>
        <v>107502</v>
      </c>
    </row>
    <row r="314" spans="1:7">
      <c r="A314" t="s">
        <v>87</v>
      </c>
      <c r="B314" t="s">
        <v>455</v>
      </c>
      <c r="C314" s="2">
        <v>46202</v>
      </c>
      <c r="D314" s="3">
        <v>21168</v>
      </c>
      <c r="E314" s="2">
        <v>46202</v>
      </c>
      <c r="F314">
        <f t="shared" ca="1" si="8"/>
        <v>33</v>
      </c>
      <c r="G314" s="3">
        <f t="shared" si="9"/>
        <v>107502</v>
      </c>
    </row>
    <row r="315" spans="1:7">
      <c r="A315" t="s">
        <v>87</v>
      </c>
      <c r="B315" t="s">
        <v>456</v>
      </c>
      <c r="C315" s="2">
        <v>46207</v>
      </c>
      <c r="D315" s="3">
        <v>5850</v>
      </c>
      <c r="E315" s="2">
        <v>46207</v>
      </c>
      <c r="F315">
        <f t="shared" ca="1" si="8"/>
        <v>28</v>
      </c>
      <c r="G315" s="3">
        <f t="shared" si="9"/>
        <v>107502</v>
      </c>
    </row>
    <row r="316" spans="1:7">
      <c r="A316" t="s">
        <v>87</v>
      </c>
      <c r="B316" t="s">
        <v>457</v>
      </c>
      <c r="C316" s="2">
        <v>46214</v>
      </c>
      <c r="D316" s="3">
        <v>26519</v>
      </c>
      <c r="E316" s="2">
        <v>46214</v>
      </c>
      <c r="F316">
        <f t="shared" ca="1" si="8"/>
        <v>21</v>
      </c>
      <c r="G316" s="3">
        <f t="shared" si="9"/>
        <v>107502</v>
      </c>
    </row>
    <row r="317" spans="1:7">
      <c r="A317" t="s">
        <v>87</v>
      </c>
      <c r="B317" t="s">
        <v>458</v>
      </c>
      <c r="C317" s="2">
        <v>46228</v>
      </c>
      <c r="D317" s="3">
        <v>9190</v>
      </c>
      <c r="E317" s="2">
        <v>46228</v>
      </c>
      <c r="F317">
        <f t="shared" ca="1" si="8"/>
        <v>7</v>
      </c>
      <c r="G317" s="3">
        <f t="shared" si="9"/>
        <v>107502</v>
      </c>
    </row>
    <row r="318" spans="1:7">
      <c r="A318" t="s">
        <v>88</v>
      </c>
      <c r="B318" t="s">
        <v>459</v>
      </c>
      <c r="C318" s="2">
        <v>46227</v>
      </c>
      <c r="D318" s="3">
        <v>16988</v>
      </c>
      <c r="E318" s="2">
        <v>46227</v>
      </c>
      <c r="F318">
        <f t="shared" ca="1" si="8"/>
        <v>8</v>
      </c>
      <c r="G318" s="3">
        <f t="shared" si="9"/>
        <v>16988</v>
      </c>
    </row>
    <row r="319" spans="1:7">
      <c r="A319" t="s">
        <v>89</v>
      </c>
      <c r="B319" t="s">
        <v>460</v>
      </c>
      <c r="C319" s="2">
        <v>46158</v>
      </c>
      <c r="D319" s="3">
        <v>1671</v>
      </c>
      <c r="E319" s="2">
        <v>46158</v>
      </c>
      <c r="F319">
        <f t="shared" ca="1" si="8"/>
        <v>77</v>
      </c>
      <c r="G319" s="3">
        <f t="shared" si="9"/>
        <v>1671</v>
      </c>
    </row>
    <row r="320" spans="1:7">
      <c r="A320" t="s">
        <v>90</v>
      </c>
      <c r="B320" t="s">
        <v>461</v>
      </c>
      <c r="C320" s="2">
        <v>46220</v>
      </c>
      <c r="D320" s="3">
        <v>2250</v>
      </c>
      <c r="E320" s="2">
        <v>46220</v>
      </c>
      <c r="F320">
        <f t="shared" ca="1" si="8"/>
        <v>15</v>
      </c>
      <c r="G320" s="3">
        <f t="shared" si="9"/>
        <v>2250</v>
      </c>
    </row>
    <row r="321" spans="1:7">
      <c r="A321" t="s">
        <v>91</v>
      </c>
      <c r="B321" t="s">
        <v>462</v>
      </c>
      <c r="C321" s="2">
        <v>46220</v>
      </c>
      <c r="D321" s="3">
        <v>2545</v>
      </c>
      <c r="E321" s="2">
        <v>46220</v>
      </c>
      <c r="F321">
        <f t="shared" ca="1" si="8"/>
        <v>15</v>
      </c>
      <c r="G321" s="3">
        <f t="shared" si="9"/>
        <v>2545</v>
      </c>
    </row>
    <row r="322" spans="1:7">
      <c r="A322" t="s">
        <v>92</v>
      </c>
      <c r="B322" t="s">
        <v>463</v>
      </c>
      <c r="C322" s="2">
        <v>45860</v>
      </c>
      <c r="D322" s="3">
        <v>3512</v>
      </c>
      <c r="E322" s="2">
        <v>45860</v>
      </c>
      <c r="F322">
        <f t="shared" ca="1" si="8"/>
        <v>375</v>
      </c>
      <c r="G322" s="3">
        <f t="shared" si="9"/>
        <v>58985</v>
      </c>
    </row>
    <row r="323" spans="1:7">
      <c r="A323" t="s">
        <v>92</v>
      </c>
      <c r="B323" t="s">
        <v>464</v>
      </c>
      <c r="C323" s="2">
        <v>45871</v>
      </c>
      <c r="D323" s="3">
        <v>3507</v>
      </c>
      <c r="E323" s="2">
        <v>45871</v>
      </c>
      <c r="F323">
        <f t="shared" ca="1" si="8"/>
        <v>364</v>
      </c>
      <c r="G323" s="3">
        <f t="shared" si="9"/>
        <v>58985</v>
      </c>
    </row>
    <row r="324" spans="1:7">
      <c r="A324" t="s">
        <v>92</v>
      </c>
      <c r="B324" t="s">
        <v>465</v>
      </c>
      <c r="C324" s="2">
        <v>45892</v>
      </c>
      <c r="D324" s="3">
        <v>1077</v>
      </c>
      <c r="E324" s="2">
        <v>45892</v>
      </c>
      <c r="F324">
        <f t="shared" ca="1" si="8"/>
        <v>343</v>
      </c>
      <c r="G324" s="3">
        <f t="shared" si="9"/>
        <v>58985</v>
      </c>
    </row>
    <row r="325" spans="1:7">
      <c r="A325" t="s">
        <v>92</v>
      </c>
      <c r="B325" t="s">
        <v>466</v>
      </c>
      <c r="C325" s="2">
        <v>45899</v>
      </c>
      <c r="D325" s="3">
        <v>437</v>
      </c>
      <c r="E325" s="2">
        <v>45899</v>
      </c>
      <c r="F325">
        <f t="shared" ref="F325:F388" ca="1" si="10">TODAY()-E325</f>
        <v>336</v>
      </c>
      <c r="G325" s="3">
        <f t="shared" ref="G325:G388" si="11">SUMIF($A$5:$A$563,A325,$D$5:$D$563)</f>
        <v>58985</v>
      </c>
    </row>
    <row r="326" spans="1:7">
      <c r="A326" t="s">
        <v>92</v>
      </c>
      <c r="B326" t="s">
        <v>467</v>
      </c>
      <c r="C326" s="2">
        <v>45962</v>
      </c>
      <c r="D326" s="3">
        <v>1174</v>
      </c>
      <c r="E326" s="2">
        <v>45962</v>
      </c>
      <c r="F326">
        <f t="shared" ca="1" si="10"/>
        <v>273</v>
      </c>
      <c r="G326" s="3">
        <f t="shared" si="11"/>
        <v>58985</v>
      </c>
    </row>
    <row r="327" spans="1:7">
      <c r="A327" t="s">
        <v>92</v>
      </c>
      <c r="B327" t="s">
        <v>468</v>
      </c>
      <c r="C327" s="2">
        <v>45990</v>
      </c>
      <c r="D327" s="3">
        <v>2662</v>
      </c>
      <c r="E327" s="2">
        <v>45990</v>
      </c>
      <c r="F327">
        <f t="shared" ca="1" si="10"/>
        <v>245</v>
      </c>
      <c r="G327" s="3">
        <f t="shared" si="11"/>
        <v>58985</v>
      </c>
    </row>
    <row r="328" spans="1:7">
      <c r="A328" t="s">
        <v>92</v>
      </c>
      <c r="B328" t="s">
        <v>469</v>
      </c>
      <c r="C328" s="2">
        <v>46063</v>
      </c>
      <c r="D328" s="3">
        <v>2455</v>
      </c>
      <c r="E328" s="2">
        <v>46063</v>
      </c>
      <c r="F328">
        <f t="shared" ca="1" si="10"/>
        <v>172</v>
      </c>
      <c r="G328" s="3">
        <f t="shared" si="11"/>
        <v>58985</v>
      </c>
    </row>
    <row r="329" spans="1:7">
      <c r="A329" t="s">
        <v>92</v>
      </c>
      <c r="B329" t="s">
        <v>470</v>
      </c>
      <c r="C329" s="2">
        <v>46086</v>
      </c>
      <c r="D329" s="3">
        <v>207</v>
      </c>
      <c r="E329" s="2">
        <v>46086</v>
      </c>
      <c r="F329">
        <f t="shared" ca="1" si="10"/>
        <v>149</v>
      </c>
      <c r="G329" s="3">
        <f t="shared" si="11"/>
        <v>58985</v>
      </c>
    </row>
    <row r="330" spans="1:7">
      <c r="A330" t="s">
        <v>92</v>
      </c>
      <c r="B330" t="s">
        <v>471</v>
      </c>
      <c r="C330" s="2">
        <v>46088</v>
      </c>
      <c r="D330" s="3">
        <v>410</v>
      </c>
      <c r="E330" s="2">
        <v>46088</v>
      </c>
      <c r="F330">
        <f t="shared" ca="1" si="10"/>
        <v>147</v>
      </c>
      <c r="G330" s="3">
        <f t="shared" si="11"/>
        <v>58985</v>
      </c>
    </row>
    <row r="331" spans="1:7">
      <c r="A331" t="s">
        <v>92</v>
      </c>
      <c r="B331" t="s">
        <v>472</v>
      </c>
      <c r="C331" s="2">
        <v>46092</v>
      </c>
      <c r="D331" s="3">
        <v>9214</v>
      </c>
      <c r="E331" s="2">
        <v>46092</v>
      </c>
      <c r="F331">
        <f t="shared" ca="1" si="10"/>
        <v>143</v>
      </c>
      <c r="G331" s="3">
        <f t="shared" si="11"/>
        <v>58985</v>
      </c>
    </row>
    <row r="332" spans="1:7">
      <c r="A332" t="s">
        <v>92</v>
      </c>
      <c r="B332" t="s">
        <v>473</v>
      </c>
      <c r="C332" s="2">
        <v>46109</v>
      </c>
      <c r="D332" s="3">
        <v>223</v>
      </c>
      <c r="E332" s="2">
        <v>46109</v>
      </c>
      <c r="F332">
        <f t="shared" ca="1" si="10"/>
        <v>126</v>
      </c>
      <c r="G332" s="3">
        <f t="shared" si="11"/>
        <v>58985</v>
      </c>
    </row>
    <row r="333" spans="1:7">
      <c r="A333" t="s">
        <v>92</v>
      </c>
      <c r="B333" t="s">
        <v>474</v>
      </c>
      <c r="C333" s="2">
        <v>46137</v>
      </c>
      <c r="D333" s="3">
        <v>4000</v>
      </c>
      <c r="E333" s="2">
        <v>46137</v>
      </c>
      <c r="F333">
        <f t="shared" ca="1" si="10"/>
        <v>98</v>
      </c>
      <c r="G333" s="3">
        <f t="shared" si="11"/>
        <v>58985</v>
      </c>
    </row>
    <row r="334" spans="1:7">
      <c r="A334" t="s">
        <v>92</v>
      </c>
      <c r="B334" t="s">
        <v>475</v>
      </c>
      <c r="C334" s="2">
        <v>46154</v>
      </c>
      <c r="D334" s="3">
        <v>2784</v>
      </c>
      <c r="E334" s="2">
        <v>46154</v>
      </c>
      <c r="F334">
        <f t="shared" ca="1" si="10"/>
        <v>81</v>
      </c>
      <c r="G334" s="3">
        <f t="shared" si="11"/>
        <v>58985</v>
      </c>
    </row>
    <row r="335" spans="1:7">
      <c r="A335" t="s">
        <v>92</v>
      </c>
      <c r="B335" t="s">
        <v>476</v>
      </c>
      <c r="C335" s="2">
        <v>46202</v>
      </c>
      <c r="D335" s="3">
        <v>1403</v>
      </c>
      <c r="E335" s="2">
        <v>46202</v>
      </c>
      <c r="F335">
        <f t="shared" ca="1" si="10"/>
        <v>33</v>
      </c>
      <c r="G335" s="3">
        <f t="shared" si="11"/>
        <v>58985</v>
      </c>
    </row>
    <row r="336" spans="1:7">
      <c r="A336" t="s">
        <v>92</v>
      </c>
      <c r="B336" t="s">
        <v>477</v>
      </c>
      <c r="C336" s="2">
        <v>46211</v>
      </c>
      <c r="D336" s="3">
        <v>25920</v>
      </c>
      <c r="E336" s="2">
        <v>46211</v>
      </c>
      <c r="F336">
        <f t="shared" ca="1" si="10"/>
        <v>24</v>
      </c>
      <c r="G336" s="3">
        <f t="shared" si="11"/>
        <v>58985</v>
      </c>
    </row>
    <row r="337" spans="1:7">
      <c r="A337" t="s">
        <v>93</v>
      </c>
      <c r="B337" t="s">
        <v>478</v>
      </c>
      <c r="C337" s="2">
        <v>46221</v>
      </c>
      <c r="D337" s="3">
        <v>3300</v>
      </c>
      <c r="E337" s="2">
        <v>46221</v>
      </c>
      <c r="F337">
        <f t="shared" ca="1" si="10"/>
        <v>14</v>
      </c>
      <c r="G337" s="3">
        <f t="shared" si="11"/>
        <v>3300</v>
      </c>
    </row>
    <row r="338" spans="1:7">
      <c r="A338" t="s">
        <v>94</v>
      </c>
      <c r="B338" t="s">
        <v>479</v>
      </c>
      <c r="C338" s="2">
        <v>46235</v>
      </c>
      <c r="D338" s="3">
        <v>5886</v>
      </c>
      <c r="E338" s="2">
        <v>46235</v>
      </c>
      <c r="F338">
        <f t="shared" ca="1" si="10"/>
        <v>0</v>
      </c>
      <c r="G338" s="3">
        <f t="shared" si="11"/>
        <v>5886</v>
      </c>
    </row>
    <row r="339" spans="1:7">
      <c r="A339" t="s">
        <v>95</v>
      </c>
      <c r="B339" t="s">
        <v>480</v>
      </c>
      <c r="C339" s="2">
        <v>46176</v>
      </c>
      <c r="D339" s="3">
        <v>16300</v>
      </c>
      <c r="E339" s="2">
        <v>46176</v>
      </c>
      <c r="F339">
        <f t="shared" ca="1" si="10"/>
        <v>59</v>
      </c>
      <c r="G339" s="3">
        <f t="shared" si="11"/>
        <v>77473</v>
      </c>
    </row>
    <row r="340" spans="1:7">
      <c r="A340" t="s">
        <v>95</v>
      </c>
      <c r="B340" t="s">
        <v>481</v>
      </c>
      <c r="C340" s="2">
        <v>46179</v>
      </c>
      <c r="D340" s="3">
        <v>1693</v>
      </c>
      <c r="E340" s="2">
        <v>46179</v>
      </c>
      <c r="F340">
        <f t="shared" ca="1" si="10"/>
        <v>56</v>
      </c>
      <c r="G340" s="3">
        <f t="shared" si="11"/>
        <v>77473</v>
      </c>
    </row>
    <row r="341" spans="1:7">
      <c r="A341" t="s">
        <v>95</v>
      </c>
      <c r="B341" t="s">
        <v>482</v>
      </c>
      <c r="C341" s="2">
        <v>46182</v>
      </c>
      <c r="D341" s="3">
        <v>3525</v>
      </c>
      <c r="E341" s="2">
        <v>46182</v>
      </c>
      <c r="F341">
        <f t="shared" ca="1" si="10"/>
        <v>53</v>
      </c>
      <c r="G341" s="3">
        <f t="shared" si="11"/>
        <v>77473</v>
      </c>
    </row>
    <row r="342" spans="1:7">
      <c r="A342" t="s">
        <v>95</v>
      </c>
      <c r="B342" t="s">
        <v>483</v>
      </c>
      <c r="C342" s="2">
        <v>46185</v>
      </c>
      <c r="D342" s="3">
        <v>14250</v>
      </c>
      <c r="E342" s="2">
        <v>46185</v>
      </c>
      <c r="F342">
        <f t="shared" ca="1" si="10"/>
        <v>50</v>
      </c>
      <c r="G342" s="3">
        <f t="shared" si="11"/>
        <v>77473</v>
      </c>
    </row>
    <row r="343" spans="1:7">
      <c r="A343" t="s">
        <v>95</v>
      </c>
      <c r="B343" t="s">
        <v>484</v>
      </c>
      <c r="C343" s="2">
        <v>46200</v>
      </c>
      <c r="D343" s="3">
        <v>6720</v>
      </c>
      <c r="E343" s="2">
        <v>46200</v>
      </c>
      <c r="F343">
        <f t="shared" ca="1" si="10"/>
        <v>35</v>
      </c>
      <c r="G343" s="3">
        <f t="shared" si="11"/>
        <v>77473</v>
      </c>
    </row>
    <row r="344" spans="1:7">
      <c r="A344" t="s">
        <v>95</v>
      </c>
      <c r="B344" t="s">
        <v>485</v>
      </c>
      <c r="C344" s="2">
        <v>46207</v>
      </c>
      <c r="D344" s="3">
        <v>8876</v>
      </c>
      <c r="E344" s="2">
        <v>46207</v>
      </c>
      <c r="F344">
        <f t="shared" ca="1" si="10"/>
        <v>28</v>
      </c>
      <c r="G344" s="3">
        <f t="shared" si="11"/>
        <v>77473</v>
      </c>
    </row>
    <row r="345" spans="1:7">
      <c r="A345" t="s">
        <v>95</v>
      </c>
      <c r="B345" t="s">
        <v>486</v>
      </c>
      <c r="C345" s="2">
        <v>46214</v>
      </c>
      <c r="D345" s="3">
        <v>7195</v>
      </c>
      <c r="E345" s="2">
        <v>46214</v>
      </c>
      <c r="F345">
        <f t="shared" ca="1" si="10"/>
        <v>21</v>
      </c>
      <c r="G345" s="3">
        <f t="shared" si="11"/>
        <v>77473</v>
      </c>
    </row>
    <row r="346" spans="1:7">
      <c r="A346" t="s">
        <v>95</v>
      </c>
      <c r="B346" t="s">
        <v>487</v>
      </c>
      <c r="C346" s="2">
        <v>46221</v>
      </c>
      <c r="D346" s="3">
        <v>6160</v>
      </c>
      <c r="E346" s="2">
        <v>46221</v>
      </c>
      <c r="F346">
        <f t="shared" ca="1" si="10"/>
        <v>14</v>
      </c>
      <c r="G346" s="3">
        <f t="shared" si="11"/>
        <v>77473</v>
      </c>
    </row>
    <row r="347" spans="1:7">
      <c r="A347" t="s">
        <v>95</v>
      </c>
      <c r="B347" t="s">
        <v>488</v>
      </c>
      <c r="C347" s="2">
        <v>46228</v>
      </c>
      <c r="D347" s="3">
        <v>4088</v>
      </c>
      <c r="E347" s="2">
        <v>46228</v>
      </c>
      <c r="F347">
        <f t="shared" ca="1" si="10"/>
        <v>7</v>
      </c>
      <c r="G347" s="3">
        <f t="shared" si="11"/>
        <v>77473</v>
      </c>
    </row>
    <row r="348" spans="1:7">
      <c r="A348" t="s">
        <v>95</v>
      </c>
      <c r="B348" t="s">
        <v>489</v>
      </c>
      <c r="C348" s="2">
        <v>46235</v>
      </c>
      <c r="D348" s="3">
        <v>8666</v>
      </c>
      <c r="E348" s="2">
        <v>46235</v>
      </c>
      <c r="F348">
        <f t="shared" ca="1" si="10"/>
        <v>0</v>
      </c>
      <c r="G348" s="3">
        <f t="shared" si="11"/>
        <v>77473</v>
      </c>
    </row>
    <row r="349" spans="1:7">
      <c r="A349" t="s">
        <v>96</v>
      </c>
      <c r="B349" t="s">
        <v>490</v>
      </c>
      <c r="C349" s="2">
        <v>46231</v>
      </c>
      <c r="D349" s="3">
        <v>3793</v>
      </c>
      <c r="E349" s="2">
        <v>46231</v>
      </c>
      <c r="F349">
        <f t="shared" ca="1" si="10"/>
        <v>4</v>
      </c>
      <c r="G349" s="3">
        <f t="shared" si="11"/>
        <v>3793</v>
      </c>
    </row>
    <row r="350" spans="1:7">
      <c r="A350" t="s">
        <v>97</v>
      </c>
      <c r="B350" t="s">
        <v>491</v>
      </c>
      <c r="C350" s="2">
        <v>46116</v>
      </c>
      <c r="D350" s="3">
        <v>189</v>
      </c>
      <c r="E350" s="2">
        <v>46116</v>
      </c>
      <c r="F350">
        <f t="shared" ca="1" si="10"/>
        <v>119</v>
      </c>
      <c r="G350" s="3">
        <f t="shared" si="11"/>
        <v>22276</v>
      </c>
    </row>
    <row r="351" spans="1:7">
      <c r="A351" t="s">
        <v>97</v>
      </c>
      <c r="B351" t="s">
        <v>492</v>
      </c>
      <c r="C351" s="2">
        <v>46144</v>
      </c>
      <c r="D351" s="3">
        <v>1037</v>
      </c>
      <c r="E351" s="2">
        <v>46144</v>
      </c>
      <c r="F351">
        <f t="shared" ca="1" si="10"/>
        <v>91</v>
      </c>
      <c r="G351" s="3">
        <f t="shared" si="11"/>
        <v>22276</v>
      </c>
    </row>
    <row r="352" spans="1:7">
      <c r="A352" t="s">
        <v>97</v>
      </c>
      <c r="B352" t="s">
        <v>493</v>
      </c>
      <c r="C352" s="2">
        <v>46147</v>
      </c>
      <c r="D352" s="3">
        <v>1196</v>
      </c>
      <c r="E352" s="2">
        <v>46147</v>
      </c>
      <c r="F352">
        <f t="shared" ca="1" si="10"/>
        <v>88</v>
      </c>
      <c r="G352" s="3">
        <f t="shared" si="11"/>
        <v>22276</v>
      </c>
    </row>
    <row r="353" spans="1:7">
      <c r="A353" t="s">
        <v>97</v>
      </c>
      <c r="B353" t="s">
        <v>494</v>
      </c>
      <c r="C353" s="2">
        <v>46155</v>
      </c>
      <c r="D353" s="3">
        <v>1037</v>
      </c>
      <c r="E353" s="2">
        <v>46155</v>
      </c>
      <c r="F353">
        <f t="shared" ca="1" si="10"/>
        <v>80</v>
      </c>
      <c r="G353" s="3">
        <f t="shared" si="11"/>
        <v>22276</v>
      </c>
    </row>
    <row r="354" spans="1:7">
      <c r="A354" t="s">
        <v>97</v>
      </c>
      <c r="B354" t="s">
        <v>495</v>
      </c>
      <c r="C354" s="2">
        <v>46157</v>
      </c>
      <c r="D354" s="3">
        <v>176</v>
      </c>
      <c r="E354" s="2">
        <v>46157</v>
      </c>
      <c r="F354">
        <f t="shared" ca="1" si="10"/>
        <v>78</v>
      </c>
      <c r="G354" s="3">
        <f t="shared" si="11"/>
        <v>22276</v>
      </c>
    </row>
    <row r="355" spans="1:7">
      <c r="A355" t="s">
        <v>97</v>
      </c>
      <c r="B355" t="s">
        <v>496</v>
      </c>
      <c r="C355" s="2">
        <v>46179</v>
      </c>
      <c r="D355" s="3">
        <v>2511</v>
      </c>
      <c r="E355" s="2">
        <v>46179</v>
      </c>
      <c r="F355">
        <f t="shared" ca="1" si="10"/>
        <v>56</v>
      </c>
      <c r="G355" s="3">
        <f t="shared" si="11"/>
        <v>22276</v>
      </c>
    </row>
    <row r="356" spans="1:7">
      <c r="A356" t="s">
        <v>97</v>
      </c>
      <c r="B356" t="s">
        <v>497</v>
      </c>
      <c r="C356" s="2">
        <v>46212</v>
      </c>
      <c r="D356" s="3">
        <v>1301</v>
      </c>
      <c r="E356" s="2">
        <v>46212</v>
      </c>
      <c r="F356">
        <f t="shared" ca="1" si="10"/>
        <v>23</v>
      </c>
      <c r="G356" s="3">
        <f t="shared" si="11"/>
        <v>22276</v>
      </c>
    </row>
    <row r="357" spans="1:7">
      <c r="A357" t="s">
        <v>97</v>
      </c>
      <c r="B357" t="s">
        <v>498</v>
      </c>
      <c r="C357" s="2">
        <v>46217</v>
      </c>
      <c r="D357" s="3">
        <v>221</v>
      </c>
      <c r="E357" s="2">
        <v>46217</v>
      </c>
      <c r="F357">
        <f t="shared" ca="1" si="10"/>
        <v>18</v>
      </c>
      <c r="G357" s="3">
        <f t="shared" si="11"/>
        <v>22276</v>
      </c>
    </row>
    <row r="358" spans="1:7">
      <c r="A358" t="s">
        <v>97</v>
      </c>
      <c r="B358" t="s">
        <v>499</v>
      </c>
      <c r="C358" s="2">
        <v>46224</v>
      </c>
      <c r="D358" s="3">
        <v>3940</v>
      </c>
      <c r="E358" s="2">
        <v>46224</v>
      </c>
      <c r="F358">
        <f t="shared" ca="1" si="10"/>
        <v>11</v>
      </c>
      <c r="G358" s="3">
        <f t="shared" si="11"/>
        <v>22276</v>
      </c>
    </row>
    <row r="359" spans="1:7">
      <c r="A359" t="s">
        <v>97</v>
      </c>
      <c r="B359" t="s">
        <v>500</v>
      </c>
      <c r="C359" s="2">
        <v>46226</v>
      </c>
      <c r="D359" s="3">
        <v>1196</v>
      </c>
      <c r="E359" s="2">
        <v>46226</v>
      </c>
      <c r="F359">
        <f t="shared" ca="1" si="10"/>
        <v>9</v>
      </c>
      <c r="G359" s="3">
        <f t="shared" si="11"/>
        <v>22276</v>
      </c>
    </row>
    <row r="360" spans="1:7">
      <c r="A360" t="s">
        <v>97</v>
      </c>
      <c r="B360" t="s">
        <v>501</v>
      </c>
      <c r="C360" s="2">
        <v>46232</v>
      </c>
      <c r="D360" s="3">
        <v>7046</v>
      </c>
      <c r="E360" s="2">
        <v>46232</v>
      </c>
      <c r="F360">
        <f t="shared" ca="1" si="10"/>
        <v>3</v>
      </c>
      <c r="G360" s="3">
        <f t="shared" si="11"/>
        <v>22276</v>
      </c>
    </row>
    <row r="361" spans="1:7">
      <c r="A361" t="s">
        <v>97</v>
      </c>
      <c r="B361" t="s">
        <v>502</v>
      </c>
      <c r="C361" s="2">
        <v>46234</v>
      </c>
      <c r="D361" s="3">
        <v>2426</v>
      </c>
      <c r="E361" s="2">
        <v>46234</v>
      </c>
      <c r="F361">
        <f t="shared" ca="1" si="10"/>
        <v>1</v>
      </c>
      <c r="G361" s="3">
        <f t="shared" si="11"/>
        <v>22276</v>
      </c>
    </row>
    <row r="362" spans="1:7">
      <c r="A362" t="s">
        <v>98</v>
      </c>
      <c r="B362" t="s">
        <v>503</v>
      </c>
      <c r="C362" s="2">
        <v>46198</v>
      </c>
      <c r="D362" s="3">
        <v>1400</v>
      </c>
      <c r="E362" s="2">
        <v>46198</v>
      </c>
      <c r="F362">
        <f t="shared" ca="1" si="10"/>
        <v>37</v>
      </c>
      <c r="G362" s="3">
        <f t="shared" si="11"/>
        <v>4700</v>
      </c>
    </row>
    <row r="363" spans="1:7">
      <c r="A363" t="s">
        <v>98</v>
      </c>
      <c r="B363" t="s">
        <v>504</v>
      </c>
      <c r="C363" s="2">
        <v>46210</v>
      </c>
      <c r="D363" s="3">
        <v>3300</v>
      </c>
      <c r="E363" s="2">
        <v>46210</v>
      </c>
      <c r="F363">
        <f t="shared" ca="1" si="10"/>
        <v>25</v>
      </c>
      <c r="G363" s="3">
        <f t="shared" si="11"/>
        <v>4700</v>
      </c>
    </row>
    <row r="364" spans="1:7">
      <c r="A364" t="s">
        <v>99</v>
      </c>
      <c r="B364" t="s">
        <v>505</v>
      </c>
      <c r="C364" s="2">
        <v>46204</v>
      </c>
      <c r="D364" s="3">
        <v>1040</v>
      </c>
      <c r="E364" s="2">
        <v>46204</v>
      </c>
      <c r="F364">
        <f t="shared" ca="1" si="10"/>
        <v>31</v>
      </c>
      <c r="G364" s="3">
        <f t="shared" si="11"/>
        <v>1040</v>
      </c>
    </row>
    <row r="365" spans="1:7">
      <c r="A365" t="s">
        <v>100</v>
      </c>
      <c r="B365" t="s">
        <v>506</v>
      </c>
      <c r="C365" s="2">
        <v>46122</v>
      </c>
      <c r="D365" s="3">
        <v>3201</v>
      </c>
      <c r="E365" s="2">
        <v>46122</v>
      </c>
      <c r="F365">
        <f t="shared" ca="1" si="10"/>
        <v>113</v>
      </c>
      <c r="G365" s="3">
        <f t="shared" si="11"/>
        <v>61020</v>
      </c>
    </row>
    <row r="366" spans="1:7">
      <c r="A366" t="s">
        <v>100</v>
      </c>
      <c r="B366" t="s">
        <v>507</v>
      </c>
      <c r="C366" s="2">
        <v>46133</v>
      </c>
      <c r="D366" s="3">
        <v>9956</v>
      </c>
      <c r="E366" s="2">
        <v>46133</v>
      </c>
      <c r="F366">
        <f t="shared" ca="1" si="10"/>
        <v>102</v>
      </c>
      <c r="G366" s="3">
        <f t="shared" si="11"/>
        <v>61020</v>
      </c>
    </row>
    <row r="367" spans="1:7">
      <c r="A367" t="s">
        <v>100</v>
      </c>
      <c r="B367" t="s">
        <v>508</v>
      </c>
      <c r="C367" s="2">
        <v>46136</v>
      </c>
      <c r="D367" s="3">
        <v>5250</v>
      </c>
      <c r="E367" s="2">
        <v>46136</v>
      </c>
      <c r="F367">
        <f t="shared" ca="1" si="10"/>
        <v>99</v>
      </c>
      <c r="G367" s="3">
        <f t="shared" si="11"/>
        <v>61020</v>
      </c>
    </row>
    <row r="368" spans="1:7">
      <c r="A368" t="s">
        <v>100</v>
      </c>
      <c r="B368" t="s">
        <v>509</v>
      </c>
      <c r="C368" s="2">
        <v>46139</v>
      </c>
      <c r="D368" s="3">
        <v>4830</v>
      </c>
      <c r="E368" s="2">
        <v>46139</v>
      </c>
      <c r="F368">
        <f t="shared" ca="1" si="10"/>
        <v>96</v>
      </c>
      <c r="G368" s="3">
        <f t="shared" si="11"/>
        <v>61020</v>
      </c>
    </row>
    <row r="369" spans="1:7">
      <c r="A369" t="s">
        <v>100</v>
      </c>
      <c r="B369" t="s">
        <v>510</v>
      </c>
      <c r="C369" s="2">
        <v>46141</v>
      </c>
      <c r="D369" s="3">
        <v>9240</v>
      </c>
      <c r="E369" s="2">
        <v>46141</v>
      </c>
      <c r="F369">
        <f t="shared" ca="1" si="10"/>
        <v>94</v>
      </c>
      <c r="G369" s="3">
        <f t="shared" si="11"/>
        <v>61020</v>
      </c>
    </row>
    <row r="370" spans="1:7">
      <c r="A370" t="s">
        <v>100</v>
      </c>
      <c r="B370" t="s">
        <v>511</v>
      </c>
      <c r="C370" s="2">
        <v>46164</v>
      </c>
      <c r="D370" s="3">
        <v>10256</v>
      </c>
      <c r="E370" s="2">
        <v>46164</v>
      </c>
      <c r="F370">
        <f t="shared" ca="1" si="10"/>
        <v>71</v>
      </c>
      <c r="G370" s="3">
        <f t="shared" si="11"/>
        <v>61020</v>
      </c>
    </row>
    <row r="371" spans="1:7">
      <c r="A371" t="s">
        <v>100</v>
      </c>
      <c r="B371" t="s">
        <v>512</v>
      </c>
      <c r="C371" s="2">
        <v>46176</v>
      </c>
      <c r="D371" s="3">
        <v>1782</v>
      </c>
      <c r="E371" s="2">
        <v>46176</v>
      </c>
      <c r="F371">
        <f t="shared" ca="1" si="10"/>
        <v>59</v>
      </c>
      <c r="G371" s="3">
        <f t="shared" si="11"/>
        <v>61020</v>
      </c>
    </row>
    <row r="372" spans="1:7">
      <c r="A372" t="s">
        <v>100</v>
      </c>
      <c r="B372" t="s">
        <v>513</v>
      </c>
      <c r="C372" s="2">
        <v>46178</v>
      </c>
      <c r="D372" s="3">
        <v>1992</v>
      </c>
      <c r="E372" s="2">
        <v>46178</v>
      </c>
      <c r="F372">
        <f t="shared" ca="1" si="10"/>
        <v>57</v>
      </c>
      <c r="G372" s="3">
        <f t="shared" si="11"/>
        <v>61020</v>
      </c>
    </row>
    <row r="373" spans="1:7">
      <c r="A373" t="s">
        <v>100</v>
      </c>
      <c r="B373" t="s">
        <v>514</v>
      </c>
      <c r="C373" s="2">
        <v>46182</v>
      </c>
      <c r="D373" s="3">
        <v>11840</v>
      </c>
      <c r="E373" s="2">
        <v>46182</v>
      </c>
      <c r="F373">
        <f t="shared" ca="1" si="10"/>
        <v>53</v>
      </c>
      <c r="G373" s="3">
        <f t="shared" si="11"/>
        <v>61020</v>
      </c>
    </row>
    <row r="374" spans="1:7">
      <c r="A374" t="s">
        <v>100</v>
      </c>
      <c r="B374" t="s">
        <v>515</v>
      </c>
      <c r="C374" s="2">
        <v>46227</v>
      </c>
      <c r="D374" s="3">
        <v>2673</v>
      </c>
      <c r="E374" s="2">
        <v>46227</v>
      </c>
      <c r="F374">
        <f t="shared" ca="1" si="10"/>
        <v>8</v>
      </c>
      <c r="G374" s="3">
        <f t="shared" si="11"/>
        <v>61020</v>
      </c>
    </row>
    <row r="375" spans="1:7">
      <c r="A375" t="s">
        <v>101</v>
      </c>
      <c r="B375" t="s">
        <v>516</v>
      </c>
      <c r="C375" s="2">
        <v>46119</v>
      </c>
      <c r="D375" s="3">
        <v>880</v>
      </c>
      <c r="E375" s="2">
        <v>46119</v>
      </c>
      <c r="F375">
        <f t="shared" ca="1" si="10"/>
        <v>116</v>
      </c>
      <c r="G375" s="3">
        <f t="shared" si="11"/>
        <v>11900</v>
      </c>
    </row>
    <row r="376" spans="1:7">
      <c r="A376" t="s">
        <v>101</v>
      </c>
      <c r="B376" t="s">
        <v>517</v>
      </c>
      <c r="C376" s="2">
        <v>46218</v>
      </c>
      <c r="D376" s="3">
        <v>4740</v>
      </c>
      <c r="E376" s="2">
        <v>46218</v>
      </c>
      <c r="F376">
        <f t="shared" ca="1" si="10"/>
        <v>17</v>
      </c>
      <c r="G376" s="3">
        <f t="shared" si="11"/>
        <v>11900</v>
      </c>
    </row>
    <row r="377" spans="1:7">
      <c r="A377" t="s">
        <v>101</v>
      </c>
      <c r="B377" t="s">
        <v>518</v>
      </c>
      <c r="C377" s="2">
        <v>46219</v>
      </c>
      <c r="D377" s="3">
        <v>1074</v>
      </c>
      <c r="E377" s="2">
        <v>46219</v>
      </c>
      <c r="F377">
        <f t="shared" ca="1" si="10"/>
        <v>16</v>
      </c>
      <c r="G377" s="3">
        <f t="shared" si="11"/>
        <v>11900</v>
      </c>
    </row>
    <row r="378" spans="1:7">
      <c r="A378" t="s">
        <v>101</v>
      </c>
      <c r="B378" t="s">
        <v>519</v>
      </c>
      <c r="C378" s="2">
        <v>46220</v>
      </c>
      <c r="D378" s="3">
        <v>4326</v>
      </c>
      <c r="E378" s="2">
        <v>46220</v>
      </c>
      <c r="F378">
        <f t="shared" ca="1" si="10"/>
        <v>15</v>
      </c>
      <c r="G378" s="3">
        <f t="shared" si="11"/>
        <v>11900</v>
      </c>
    </row>
    <row r="379" spans="1:7">
      <c r="A379" t="s">
        <v>101</v>
      </c>
      <c r="B379" t="s">
        <v>520</v>
      </c>
      <c r="C379" s="2">
        <v>46235</v>
      </c>
      <c r="D379" s="3">
        <v>880</v>
      </c>
      <c r="E379" s="2">
        <v>46235</v>
      </c>
      <c r="F379">
        <f t="shared" ca="1" si="10"/>
        <v>0</v>
      </c>
      <c r="G379" s="3">
        <f t="shared" si="11"/>
        <v>11900</v>
      </c>
    </row>
    <row r="380" spans="1:7">
      <c r="A380" t="s">
        <v>102</v>
      </c>
      <c r="B380" t="s">
        <v>521</v>
      </c>
      <c r="C380" s="2">
        <v>46184</v>
      </c>
      <c r="D380" s="3">
        <v>8000</v>
      </c>
      <c r="E380" s="2">
        <v>46184</v>
      </c>
      <c r="F380">
        <f t="shared" ca="1" si="10"/>
        <v>51</v>
      </c>
      <c r="G380" s="3">
        <f t="shared" si="11"/>
        <v>8000</v>
      </c>
    </row>
    <row r="381" spans="1:7">
      <c r="A381" t="s">
        <v>103</v>
      </c>
      <c r="B381" t="s">
        <v>522</v>
      </c>
      <c r="C381" s="2">
        <v>46195</v>
      </c>
      <c r="D381" s="3">
        <v>5403</v>
      </c>
      <c r="E381" s="2">
        <v>46195</v>
      </c>
      <c r="F381">
        <f t="shared" ca="1" si="10"/>
        <v>40</v>
      </c>
      <c r="G381" s="3">
        <f t="shared" si="11"/>
        <v>5403</v>
      </c>
    </row>
    <row r="382" spans="1:7">
      <c r="A382" t="s">
        <v>104</v>
      </c>
      <c r="B382" t="s">
        <v>523</v>
      </c>
      <c r="C382" s="2">
        <v>46163</v>
      </c>
      <c r="D382" s="3">
        <v>620</v>
      </c>
      <c r="E382" s="2">
        <v>46163</v>
      </c>
      <c r="F382">
        <f t="shared" ca="1" si="10"/>
        <v>72</v>
      </c>
      <c r="G382" s="3">
        <f t="shared" si="11"/>
        <v>1659</v>
      </c>
    </row>
    <row r="383" spans="1:7">
      <c r="A383" t="s">
        <v>104</v>
      </c>
      <c r="B383" t="s">
        <v>524</v>
      </c>
      <c r="C383" s="2">
        <v>46232</v>
      </c>
      <c r="D383" s="3">
        <v>1039</v>
      </c>
      <c r="E383" s="2">
        <v>46232</v>
      </c>
      <c r="F383">
        <f t="shared" ca="1" si="10"/>
        <v>3</v>
      </c>
      <c r="G383" s="3">
        <f t="shared" si="11"/>
        <v>1659</v>
      </c>
    </row>
    <row r="384" spans="1:7">
      <c r="A384" t="s">
        <v>105</v>
      </c>
      <c r="B384" t="s">
        <v>525</v>
      </c>
      <c r="C384" s="2">
        <v>46182</v>
      </c>
      <c r="D384" s="3">
        <v>8244</v>
      </c>
      <c r="E384" s="2">
        <v>46182</v>
      </c>
      <c r="F384">
        <f t="shared" ca="1" si="10"/>
        <v>53</v>
      </c>
      <c r="G384" s="3">
        <f t="shared" si="11"/>
        <v>12444</v>
      </c>
    </row>
    <row r="385" spans="1:7">
      <c r="A385" t="s">
        <v>105</v>
      </c>
      <c r="B385" t="s">
        <v>526</v>
      </c>
      <c r="C385" s="2">
        <v>46227</v>
      </c>
      <c r="D385" s="3">
        <v>4200</v>
      </c>
      <c r="E385" s="2">
        <v>46227</v>
      </c>
      <c r="F385">
        <f t="shared" ca="1" si="10"/>
        <v>8</v>
      </c>
      <c r="G385" s="3">
        <f t="shared" si="11"/>
        <v>12444</v>
      </c>
    </row>
    <row r="386" spans="1:7">
      <c r="A386" t="s">
        <v>106</v>
      </c>
      <c r="B386" t="s">
        <v>527</v>
      </c>
      <c r="C386" s="2">
        <v>46109</v>
      </c>
      <c r="D386" s="3">
        <v>8353</v>
      </c>
      <c r="E386" s="2">
        <v>46109</v>
      </c>
      <c r="F386">
        <f t="shared" ca="1" si="10"/>
        <v>126</v>
      </c>
      <c r="G386" s="3">
        <f t="shared" si="11"/>
        <v>16423</v>
      </c>
    </row>
    <row r="387" spans="1:7">
      <c r="A387" t="s">
        <v>106</v>
      </c>
      <c r="B387" t="s">
        <v>528</v>
      </c>
      <c r="C387" s="2">
        <v>46172</v>
      </c>
      <c r="D387" s="3">
        <v>1749</v>
      </c>
      <c r="E387" s="2">
        <v>46172</v>
      </c>
      <c r="F387">
        <f t="shared" ca="1" si="10"/>
        <v>63</v>
      </c>
      <c r="G387" s="3">
        <f t="shared" si="11"/>
        <v>16423</v>
      </c>
    </row>
    <row r="388" spans="1:7">
      <c r="A388" t="s">
        <v>106</v>
      </c>
      <c r="B388" t="s">
        <v>529</v>
      </c>
      <c r="C388" s="2">
        <v>46179</v>
      </c>
      <c r="D388" s="3">
        <v>245</v>
      </c>
      <c r="E388" s="2">
        <v>46179</v>
      </c>
      <c r="F388">
        <f t="shared" ca="1" si="10"/>
        <v>56</v>
      </c>
      <c r="G388" s="3">
        <f t="shared" si="11"/>
        <v>16423</v>
      </c>
    </row>
    <row r="389" spans="1:7">
      <c r="A389" t="s">
        <v>106</v>
      </c>
      <c r="B389" t="s">
        <v>530</v>
      </c>
      <c r="C389" s="2">
        <v>46200</v>
      </c>
      <c r="D389" s="3">
        <v>6076</v>
      </c>
      <c r="E389" s="2">
        <v>46200</v>
      </c>
      <c r="F389">
        <f t="shared" ref="F389:F452" ca="1" si="12">TODAY()-E389</f>
        <v>35</v>
      </c>
      <c r="G389" s="3">
        <f t="shared" ref="G389:G452" si="13">SUMIF($A$5:$A$563,A389,$D$5:$D$563)</f>
        <v>16423</v>
      </c>
    </row>
    <row r="390" spans="1:7">
      <c r="A390" t="s">
        <v>107</v>
      </c>
      <c r="B390" t="s">
        <v>531</v>
      </c>
      <c r="C390" s="2">
        <v>45831</v>
      </c>
      <c r="D390" s="3">
        <v>1284</v>
      </c>
      <c r="E390" s="2">
        <v>45831</v>
      </c>
      <c r="F390">
        <f t="shared" ca="1" si="12"/>
        <v>404</v>
      </c>
      <c r="G390" s="3">
        <f t="shared" si="13"/>
        <v>23709</v>
      </c>
    </row>
    <row r="391" spans="1:7">
      <c r="A391" t="s">
        <v>107</v>
      </c>
      <c r="B391" t="s">
        <v>532</v>
      </c>
      <c r="C391" s="2">
        <v>45850</v>
      </c>
      <c r="D391" s="3">
        <v>4015</v>
      </c>
      <c r="E391" s="2">
        <v>45850</v>
      </c>
      <c r="F391">
        <f t="shared" ca="1" si="12"/>
        <v>385</v>
      </c>
      <c r="G391" s="3">
        <f t="shared" si="13"/>
        <v>23709</v>
      </c>
    </row>
    <row r="392" spans="1:7">
      <c r="A392" t="s">
        <v>107</v>
      </c>
      <c r="B392" t="s">
        <v>533</v>
      </c>
      <c r="C392" s="2">
        <v>45857</v>
      </c>
      <c r="D392" s="3">
        <v>2784</v>
      </c>
      <c r="E392" s="2">
        <v>45857</v>
      </c>
      <c r="F392">
        <f t="shared" ca="1" si="12"/>
        <v>378</v>
      </c>
      <c r="G392" s="3">
        <f t="shared" si="13"/>
        <v>23709</v>
      </c>
    </row>
    <row r="393" spans="1:7">
      <c r="A393" t="s">
        <v>107</v>
      </c>
      <c r="B393" t="s">
        <v>534</v>
      </c>
      <c r="C393" s="2">
        <v>45877</v>
      </c>
      <c r="D393" s="3">
        <v>7661</v>
      </c>
      <c r="E393" s="2">
        <v>45877</v>
      </c>
      <c r="F393">
        <f t="shared" ca="1" si="12"/>
        <v>358</v>
      </c>
      <c r="G393" s="3">
        <f t="shared" si="13"/>
        <v>23709</v>
      </c>
    </row>
    <row r="394" spans="1:7">
      <c r="A394" t="s">
        <v>107</v>
      </c>
      <c r="B394" t="s">
        <v>535</v>
      </c>
      <c r="C394" s="2">
        <v>45912</v>
      </c>
      <c r="D394" s="3">
        <v>1861</v>
      </c>
      <c r="E394" s="2">
        <v>45912</v>
      </c>
      <c r="F394">
        <f t="shared" ca="1" si="12"/>
        <v>323</v>
      </c>
      <c r="G394" s="3">
        <f t="shared" si="13"/>
        <v>23709</v>
      </c>
    </row>
    <row r="395" spans="1:7">
      <c r="A395" t="s">
        <v>107</v>
      </c>
      <c r="B395" t="s">
        <v>536</v>
      </c>
      <c r="C395" s="2">
        <v>45912</v>
      </c>
      <c r="D395" s="3">
        <v>2054</v>
      </c>
      <c r="E395" s="2">
        <v>45912</v>
      </c>
      <c r="F395">
        <f t="shared" ca="1" si="12"/>
        <v>323</v>
      </c>
      <c r="G395" s="3">
        <f t="shared" si="13"/>
        <v>23709</v>
      </c>
    </row>
    <row r="396" spans="1:7">
      <c r="A396" t="s">
        <v>107</v>
      </c>
      <c r="B396" t="s">
        <v>537</v>
      </c>
      <c r="C396" s="2">
        <v>45915</v>
      </c>
      <c r="D396" s="3">
        <v>3000</v>
      </c>
      <c r="E396" s="2">
        <v>45915</v>
      </c>
      <c r="F396">
        <f t="shared" ca="1" si="12"/>
        <v>320</v>
      </c>
      <c r="G396" s="3">
        <f t="shared" si="13"/>
        <v>23709</v>
      </c>
    </row>
    <row r="397" spans="1:7">
      <c r="A397" t="s">
        <v>107</v>
      </c>
      <c r="B397" t="s">
        <v>538</v>
      </c>
      <c r="C397" s="2">
        <v>45920</v>
      </c>
      <c r="D397" s="3">
        <v>1050</v>
      </c>
      <c r="E397" s="2">
        <v>45920</v>
      </c>
      <c r="F397">
        <f t="shared" ca="1" si="12"/>
        <v>315</v>
      </c>
      <c r="G397" s="3">
        <f t="shared" si="13"/>
        <v>23709</v>
      </c>
    </row>
    <row r="398" spans="1:7">
      <c r="A398" t="s">
        <v>108</v>
      </c>
      <c r="B398" t="s">
        <v>539</v>
      </c>
      <c r="C398" s="2">
        <v>46104</v>
      </c>
      <c r="D398" s="3">
        <v>7800</v>
      </c>
      <c r="E398" s="2">
        <v>46104</v>
      </c>
      <c r="F398">
        <f t="shared" ca="1" si="12"/>
        <v>131</v>
      </c>
      <c r="G398" s="3">
        <f t="shared" si="13"/>
        <v>7800</v>
      </c>
    </row>
    <row r="399" spans="1:7">
      <c r="A399" t="s">
        <v>109</v>
      </c>
      <c r="B399" t="s">
        <v>540</v>
      </c>
      <c r="C399" s="2">
        <v>46235</v>
      </c>
      <c r="D399" s="3">
        <v>7775</v>
      </c>
      <c r="E399" s="2">
        <v>46235</v>
      </c>
      <c r="F399">
        <f t="shared" ca="1" si="12"/>
        <v>0</v>
      </c>
      <c r="G399" s="3">
        <f t="shared" si="13"/>
        <v>7775</v>
      </c>
    </row>
    <row r="400" spans="1:7">
      <c r="A400" t="s">
        <v>110</v>
      </c>
      <c r="B400" t="s">
        <v>541</v>
      </c>
      <c r="C400" s="2">
        <v>46209</v>
      </c>
      <c r="D400" s="3">
        <v>310</v>
      </c>
      <c r="E400" s="2">
        <v>46209</v>
      </c>
      <c r="F400">
        <f t="shared" ca="1" si="12"/>
        <v>26</v>
      </c>
      <c r="G400" s="3">
        <f t="shared" si="13"/>
        <v>8878</v>
      </c>
    </row>
    <row r="401" spans="1:7">
      <c r="A401" t="s">
        <v>110</v>
      </c>
      <c r="B401" t="s">
        <v>542</v>
      </c>
      <c r="C401" s="2">
        <v>46210</v>
      </c>
      <c r="D401" s="3">
        <v>3700</v>
      </c>
      <c r="E401" s="2">
        <v>46210</v>
      </c>
      <c r="F401">
        <f t="shared" ca="1" si="12"/>
        <v>25</v>
      </c>
      <c r="G401" s="3">
        <f t="shared" si="13"/>
        <v>8878</v>
      </c>
    </row>
    <row r="402" spans="1:7">
      <c r="A402" t="s">
        <v>110</v>
      </c>
      <c r="B402" t="s">
        <v>543</v>
      </c>
      <c r="C402" s="2">
        <v>46211</v>
      </c>
      <c r="D402" s="3">
        <v>850</v>
      </c>
      <c r="E402" s="2">
        <v>46211</v>
      </c>
      <c r="F402">
        <f t="shared" ca="1" si="12"/>
        <v>24</v>
      </c>
      <c r="G402" s="3">
        <f t="shared" si="13"/>
        <v>8878</v>
      </c>
    </row>
    <row r="403" spans="1:7">
      <c r="A403" t="s">
        <v>110</v>
      </c>
      <c r="B403" t="s">
        <v>544</v>
      </c>
      <c r="C403" s="2">
        <v>46225</v>
      </c>
      <c r="D403" s="3">
        <v>2290</v>
      </c>
      <c r="E403" s="2">
        <v>46225</v>
      </c>
      <c r="F403">
        <f t="shared" ca="1" si="12"/>
        <v>10</v>
      </c>
      <c r="G403" s="3">
        <f t="shared" si="13"/>
        <v>8878</v>
      </c>
    </row>
    <row r="404" spans="1:7">
      <c r="A404" t="s">
        <v>110</v>
      </c>
      <c r="B404" t="s">
        <v>545</v>
      </c>
      <c r="C404" s="2">
        <v>46231</v>
      </c>
      <c r="D404" s="3">
        <v>1728</v>
      </c>
      <c r="E404" s="2">
        <v>46231</v>
      </c>
      <c r="F404">
        <f t="shared" ca="1" si="12"/>
        <v>4</v>
      </c>
      <c r="G404" s="3">
        <f t="shared" si="13"/>
        <v>8878</v>
      </c>
    </row>
    <row r="405" spans="1:7">
      <c r="A405" t="s">
        <v>111</v>
      </c>
      <c r="B405" t="s">
        <v>546</v>
      </c>
      <c r="C405" s="2">
        <v>46207</v>
      </c>
      <c r="D405" s="3">
        <v>2880</v>
      </c>
      <c r="E405" s="2">
        <v>46207</v>
      </c>
      <c r="F405">
        <f t="shared" ca="1" si="12"/>
        <v>28</v>
      </c>
      <c r="G405" s="3">
        <f t="shared" si="13"/>
        <v>2880</v>
      </c>
    </row>
    <row r="406" spans="1:7">
      <c r="A406" t="s">
        <v>112</v>
      </c>
      <c r="B406" t="s">
        <v>547</v>
      </c>
      <c r="C406" s="2">
        <v>46174</v>
      </c>
      <c r="D406" s="3">
        <v>600</v>
      </c>
      <c r="E406" s="2">
        <v>46174</v>
      </c>
      <c r="F406">
        <f t="shared" ca="1" si="12"/>
        <v>61</v>
      </c>
      <c r="G406" s="3">
        <f t="shared" si="13"/>
        <v>600</v>
      </c>
    </row>
    <row r="407" spans="1:7">
      <c r="A407" t="s">
        <v>113</v>
      </c>
      <c r="B407" t="s">
        <v>548</v>
      </c>
      <c r="C407" s="2">
        <v>46212</v>
      </c>
      <c r="D407" s="3">
        <v>19057</v>
      </c>
      <c r="E407" s="2">
        <v>46212</v>
      </c>
      <c r="F407">
        <f t="shared" ca="1" si="12"/>
        <v>23</v>
      </c>
      <c r="G407" s="3">
        <f t="shared" si="13"/>
        <v>19057</v>
      </c>
    </row>
    <row r="408" spans="1:7">
      <c r="A408" t="s">
        <v>114</v>
      </c>
      <c r="B408" t="s">
        <v>549</v>
      </c>
      <c r="C408" s="2">
        <v>46109</v>
      </c>
      <c r="D408" s="3">
        <v>962</v>
      </c>
      <c r="E408" s="2">
        <v>46109</v>
      </c>
      <c r="F408">
        <f t="shared" ca="1" si="12"/>
        <v>126</v>
      </c>
      <c r="G408" s="3">
        <f t="shared" si="13"/>
        <v>14037</v>
      </c>
    </row>
    <row r="409" spans="1:7">
      <c r="A409" t="s">
        <v>114</v>
      </c>
      <c r="B409" t="s">
        <v>550</v>
      </c>
      <c r="C409" s="2">
        <v>46116</v>
      </c>
      <c r="D409" s="3">
        <v>800</v>
      </c>
      <c r="E409" s="2">
        <v>46116</v>
      </c>
      <c r="F409">
        <f t="shared" ca="1" si="12"/>
        <v>119</v>
      </c>
      <c r="G409" s="3">
        <f t="shared" si="13"/>
        <v>14037</v>
      </c>
    </row>
    <row r="410" spans="1:7">
      <c r="A410" t="s">
        <v>114</v>
      </c>
      <c r="B410" t="s">
        <v>551</v>
      </c>
      <c r="C410" s="2">
        <v>46137</v>
      </c>
      <c r="D410" s="3">
        <v>250</v>
      </c>
      <c r="E410" s="2">
        <v>46137</v>
      </c>
      <c r="F410">
        <f t="shared" ca="1" si="12"/>
        <v>98</v>
      </c>
      <c r="G410" s="3">
        <f t="shared" si="13"/>
        <v>14037</v>
      </c>
    </row>
    <row r="411" spans="1:7">
      <c r="A411" t="s">
        <v>114</v>
      </c>
      <c r="B411" t="s">
        <v>552</v>
      </c>
      <c r="C411" s="2">
        <v>46144</v>
      </c>
      <c r="D411" s="3">
        <v>765</v>
      </c>
      <c r="E411" s="2">
        <v>46144</v>
      </c>
      <c r="F411">
        <f t="shared" ca="1" si="12"/>
        <v>91</v>
      </c>
      <c r="G411" s="3">
        <f t="shared" si="13"/>
        <v>14037</v>
      </c>
    </row>
    <row r="412" spans="1:7">
      <c r="A412" t="s">
        <v>114</v>
      </c>
      <c r="B412" t="s">
        <v>553</v>
      </c>
      <c r="C412" s="2">
        <v>46165</v>
      </c>
      <c r="D412" s="3">
        <v>721</v>
      </c>
      <c r="E412" s="2">
        <v>46165</v>
      </c>
      <c r="F412">
        <f t="shared" ca="1" si="12"/>
        <v>70</v>
      </c>
      <c r="G412" s="3">
        <f t="shared" si="13"/>
        <v>14037</v>
      </c>
    </row>
    <row r="413" spans="1:7">
      <c r="A413" t="s">
        <v>114</v>
      </c>
      <c r="B413" t="s">
        <v>554</v>
      </c>
      <c r="C413" s="2">
        <v>46200</v>
      </c>
      <c r="D413" s="3">
        <v>626</v>
      </c>
      <c r="E413" s="2">
        <v>46200</v>
      </c>
      <c r="F413">
        <f t="shared" ca="1" si="12"/>
        <v>35</v>
      </c>
      <c r="G413" s="3">
        <f t="shared" si="13"/>
        <v>14037</v>
      </c>
    </row>
    <row r="414" spans="1:7">
      <c r="A414" t="s">
        <v>114</v>
      </c>
      <c r="B414" t="s">
        <v>555</v>
      </c>
      <c r="C414" s="2">
        <v>46219</v>
      </c>
      <c r="D414" s="3">
        <v>5573</v>
      </c>
      <c r="E414" s="2">
        <v>46219</v>
      </c>
      <c r="F414">
        <f t="shared" ca="1" si="12"/>
        <v>16</v>
      </c>
      <c r="G414" s="3">
        <f t="shared" si="13"/>
        <v>14037</v>
      </c>
    </row>
    <row r="415" spans="1:7">
      <c r="A415" t="s">
        <v>114</v>
      </c>
      <c r="B415" t="s">
        <v>556</v>
      </c>
      <c r="C415" s="2">
        <v>46221</v>
      </c>
      <c r="D415" s="3">
        <v>1500</v>
      </c>
      <c r="E415" s="2">
        <v>46221</v>
      </c>
      <c r="F415">
        <f t="shared" ca="1" si="12"/>
        <v>14</v>
      </c>
      <c r="G415" s="3">
        <f t="shared" si="13"/>
        <v>14037</v>
      </c>
    </row>
    <row r="416" spans="1:7">
      <c r="A416" t="s">
        <v>114</v>
      </c>
      <c r="B416" t="s">
        <v>557</v>
      </c>
      <c r="C416" s="2">
        <v>46228</v>
      </c>
      <c r="D416" s="3">
        <v>680</v>
      </c>
      <c r="E416" s="2">
        <v>46228</v>
      </c>
      <c r="F416">
        <f t="shared" ca="1" si="12"/>
        <v>7</v>
      </c>
      <c r="G416" s="3">
        <f t="shared" si="13"/>
        <v>14037</v>
      </c>
    </row>
    <row r="417" spans="1:7">
      <c r="A417" t="s">
        <v>114</v>
      </c>
      <c r="B417" t="s">
        <v>558</v>
      </c>
      <c r="C417" s="2">
        <v>46235</v>
      </c>
      <c r="D417" s="3">
        <v>2160</v>
      </c>
      <c r="E417" s="2">
        <v>46235</v>
      </c>
      <c r="F417">
        <f t="shared" ca="1" si="12"/>
        <v>0</v>
      </c>
      <c r="G417" s="3">
        <f t="shared" si="13"/>
        <v>14037</v>
      </c>
    </row>
    <row r="418" spans="1:7">
      <c r="A418" t="s">
        <v>115</v>
      </c>
      <c r="B418" t="s">
        <v>559</v>
      </c>
      <c r="C418" s="2">
        <v>46140</v>
      </c>
      <c r="D418" s="3">
        <v>255</v>
      </c>
      <c r="E418" s="2">
        <v>46140</v>
      </c>
      <c r="F418">
        <f t="shared" ca="1" si="12"/>
        <v>95</v>
      </c>
      <c r="G418" s="3">
        <f t="shared" si="13"/>
        <v>594</v>
      </c>
    </row>
    <row r="419" spans="1:7">
      <c r="A419" t="s">
        <v>115</v>
      </c>
      <c r="B419" t="s">
        <v>560</v>
      </c>
      <c r="C419" s="2">
        <v>46216</v>
      </c>
      <c r="D419" s="3">
        <v>339</v>
      </c>
      <c r="E419" s="2">
        <v>46216</v>
      </c>
      <c r="F419">
        <f t="shared" ca="1" si="12"/>
        <v>19</v>
      </c>
      <c r="G419" s="3">
        <f t="shared" si="13"/>
        <v>594</v>
      </c>
    </row>
    <row r="420" spans="1:7">
      <c r="A420" t="s">
        <v>116</v>
      </c>
      <c r="B420" t="s">
        <v>561</v>
      </c>
      <c r="C420" s="2">
        <v>46156</v>
      </c>
      <c r="D420" s="3">
        <v>1760</v>
      </c>
      <c r="E420" s="2">
        <v>46156</v>
      </c>
      <c r="F420">
        <f t="shared" ca="1" si="12"/>
        <v>79</v>
      </c>
      <c r="G420" s="3">
        <f t="shared" si="13"/>
        <v>2092</v>
      </c>
    </row>
    <row r="421" spans="1:7">
      <c r="A421" t="s">
        <v>116</v>
      </c>
      <c r="B421" t="s">
        <v>562</v>
      </c>
      <c r="C421" s="2">
        <v>46212</v>
      </c>
      <c r="D421" s="3">
        <v>332</v>
      </c>
      <c r="E421" s="2">
        <v>46212</v>
      </c>
      <c r="F421">
        <f t="shared" ca="1" si="12"/>
        <v>23</v>
      </c>
      <c r="G421" s="3">
        <f t="shared" si="13"/>
        <v>2092</v>
      </c>
    </row>
    <row r="422" spans="1:7">
      <c r="A422" t="s">
        <v>117</v>
      </c>
      <c r="B422" t="s">
        <v>563</v>
      </c>
      <c r="C422" s="2">
        <v>46212</v>
      </c>
      <c r="D422" s="3">
        <v>23100</v>
      </c>
      <c r="E422" s="2">
        <v>46212</v>
      </c>
      <c r="F422">
        <f t="shared" ca="1" si="12"/>
        <v>23</v>
      </c>
      <c r="G422" s="3">
        <f t="shared" si="13"/>
        <v>23100</v>
      </c>
    </row>
    <row r="423" spans="1:7">
      <c r="A423" t="s">
        <v>118</v>
      </c>
      <c r="B423" t="s">
        <v>564</v>
      </c>
      <c r="C423" s="2">
        <v>45934</v>
      </c>
      <c r="D423" s="3">
        <v>16089</v>
      </c>
      <c r="E423" s="2">
        <v>45934</v>
      </c>
      <c r="F423">
        <f t="shared" ca="1" si="12"/>
        <v>301</v>
      </c>
      <c r="G423" s="3">
        <f t="shared" si="13"/>
        <v>158534</v>
      </c>
    </row>
    <row r="424" spans="1:7">
      <c r="A424" t="s">
        <v>118</v>
      </c>
      <c r="B424" t="s">
        <v>565</v>
      </c>
      <c r="C424" s="2">
        <v>45941</v>
      </c>
      <c r="D424" s="3">
        <v>2000</v>
      </c>
      <c r="E424" s="2">
        <v>45941</v>
      </c>
      <c r="F424">
        <f t="shared" ca="1" si="12"/>
        <v>294</v>
      </c>
      <c r="G424" s="3">
        <f t="shared" si="13"/>
        <v>158534</v>
      </c>
    </row>
    <row r="425" spans="1:7">
      <c r="A425" t="s">
        <v>118</v>
      </c>
      <c r="B425" t="s">
        <v>566</v>
      </c>
      <c r="C425" s="2">
        <v>45948</v>
      </c>
      <c r="D425" s="3">
        <v>6445</v>
      </c>
      <c r="E425" s="2">
        <v>45948</v>
      </c>
      <c r="F425">
        <f t="shared" ca="1" si="12"/>
        <v>287</v>
      </c>
      <c r="G425" s="3">
        <f t="shared" si="13"/>
        <v>158534</v>
      </c>
    </row>
    <row r="426" spans="1:7">
      <c r="A426" t="s">
        <v>118</v>
      </c>
      <c r="B426" t="s">
        <v>567</v>
      </c>
      <c r="C426" s="2">
        <v>45971</v>
      </c>
      <c r="D426" s="3">
        <v>4800</v>
      </c>
      <c r="E426" s="2">
        <v>45971</v>
      </c>
      <c r="F426">
        <f t="shared" ca="1" si="12"/>
        <v>264</v>
      </c>
      <c r="G426" s="3">
        <f t="shared" si="13"/>
        <v>158534</v>
      </c>
    </row>
    <row r="427" spans="1:7">
      <c r="A427" t="s">
        <v>118</v>
      </c>
      <c r="B427" t="s">
        <v>568</v>
      </c>
      <c r="C427" s="2">
        <v>45997</v>
      </c>
      <c r="D427" s="3">
        <v>5500</v>
      </c>
      <c r="E427" s="2">
        <v>45997</v>
      </c>
      <c r="F427">
        <f t="shared" ca="1" si="12"/>
        <v>238</v>
      </c>
      <c r="G427" s="3">
        <f t="shared" si="13"/>
        <v>158534</v>
      </c>
    </row>
    <row r="428" spans="1:7">
      <c r="A428" t="s">
        <v>118</v>
      </c>
      <c r="B428" t="s">
        <v>569</v>
      </c>
      <c r="C428" s="2">
        <v>46010</v>
      </c>
      <c r="D428" s="3">
        <v>26000</v>
      </c>
      <c r="E428" s="2">
        <v>46010</v>
      </c>
      <c r="F428">
        <f t="shared" ca="1" si="12"/>
        <v>225</v>
      </c>
      <c r="G428" s="3">
        <f t="shared" si="13"/>
        <v>158534</v>
      </c>
    </row>
    <row r="429" spans="1:7">
      <c r="A429" t="s">
        <v>118</v>
      </c>
      <c r="B429" t="s">
        <v>570</v>
      </c>
      <c r="C429" s="2">
        <v>46011</v>
      </c>
      <c r="D429" s="3">
        <v>4250</v>
      </c>
      <c r="E429" s="2">
        <v>46011</v>
      </c>
      <c r="F429">
        <f t="shared" ca="1" si="12"/>
        <v>224</v>
      </c>
      <c r="G429" s="3">
        <f t="shared" si="13"/>
        <v>158534</v>
      </c>
    </row>
    <row r="430" spans="1:7">
      <c r="A430" t="s">
        <v>118</v>
      </c>
      <c r="B430" t="s">
        <v>571</v>
      </c>
      <c r="C430" s="2">
        <v>46046</v>
      </c>
      <c r="D430" s="3">
        <v>13200</v>
      </c>
      <c r="E430" s="2">
        <v>46046</v>
      </c>
      <c r="F430">
        <f t="shared" ca="1" si="12"/>
        <v>189</v>
      </c>
      <c r="G430" s="3">
        <f t="shared" si="13"/>
        <v>158534</v>
      </c>
    </row>
    <row r="431" spans="1:7">
      <c r="A431" t="s">
        <v>118</v>
      </c>
      <c r="B431" t="s">
        <v>572</v>
      </c>
      <c r="C431" s="2">
        <v>46046</v>
      </c>
      <c r="D431" s="3">
        <v>2643</v>
      </c>
      <c r="E431" s="2">
        <v>46046</v>
      </c>
      <c r="F431">
        <f t="shared" ca="1" si="12"/>
        <v>189</v>
      </c>
      <c r="G431" s="3">
        <f t="shared" si="13"/>
        <v>158534</v>
      </c>
    </row>
    <row r="432" spans="1:7">
      <c r="A432" t="s">
        <v>118</v>
      </c>
      <c r="B432" t="s">
        <v>573</v>
      </c>
      <c r="C432" s="2">
        <v>46049</v>
      </c>
      <c r="D432" s="3">
        <v>4900</v>
      </c>
      <c r="E432" s="2">
        <v>46049</v>
      </c>
      <c r="F432">
        <f t="shared" ca="1" si="12"/>
        <v>186</v>
      </c>
      <c r="G432" s="3">
        <f t="shared" si="13"/>
        <v>158534</v>
      </c>
    </row>
    <row r="433" spans="1:7">
      <c r="A433" t="s">
        <v>118</v>
      </c>
      <c r="B433" t="s">
        <v>574</v>
      </c>
      <c r="C433" s="2">
        <v>46053</v>
      </c>
      <c r="D433" s="3">
        <v>1700</v>
      </c>
      <c r="E433" s="2">
        <v>46053</v>
      </c>
      <c r="F433">
        <f t="shared" ca="1" si="12"/>
        <v>182</v>
      </c>
      <c r="G433" s="3">
        <f t="shared" si="13"/>
        <v>158534</v>
      </c>
    </row>
    <row r="434" spans="1:7">
      <c r="A434" t="s">
        <v>118</v>
      </c>
      <c r="B434" t="s">
        <v>575</v>
      </c>
      <c r="C434" s="2">
        <v>46074</v>
      </c>
      <c r="D434" s="3">
        <v>158</v>
      </c>
      <c r="E434" s="2">
        <v>46074</v>
      </c>
      <c r="F434">
        <f t="shared" ca="1" si="12"/>
        <v>161</v>
      </c>
      <c r="G434" s="3">
        <f t="shared" si="13"/>
        <v>158534</v>
      </c>
    </row>
    <row r="435" spans="1:7">
      <c r="A435" t="s">
        <v>118</v>
      </c>
      <c r="B435" t="s">
        <v>576</v>
      </c>
      <c r="C435" s="2">
        <v>46080</v>
      </c>
      <c r="D435" s="3">
        <v>850</v>
      </c>
      <c r="E435" s="2">
        <v>46080</v>
      </c>
      <c r="F435">
        <f t="shared" ca="1" si="12"/>
        <v>155</v>
      </c>
      <c r="G435" s="3">
        <f t="shared" si="13"/>
        <v>158534</v>
      </c>
    </row>
    <row r="436" spans="1:7">
      <c r="A436" t="s">
        <v>118</v>
      </c>
      <c r="B436" t="s">
        <v>577</v>
      </c>
      <c r="C436" s="2">
        <v>46081</v>
      </c>
      <c r="D436" s="3">
        <v>5650</v>
      </c>
      <c r="E436" s="2">
        <v>46081</v>
      </c>
      <c r="F436">
        <f t="shared" ca="1" si="12"/>
        <v>154</v>
      </c>
      <c r="G436" s="3">
        <f t="shared" si="13"/>
        <v>158534</v>
      </c>
    </row>
    <row r="437" spans="1:7">
      <c r="A437" t="s">
        <v>118</v>
      </c>
      <c r="B437" t="s">
        <v>578</v>
      </c>
      <c r="C437" s="2">
        <v>46098</v>
      </c>
      <c r="D437" s="3">
        <v>2500</v>
      </c>
      <c r="E437" s="2">
        <v>46098</v>
      </c>
      <c r="F437">
        <f t="shared" ca="1" si="12"/>
        <v>137</v>
      </c>
      <c r="G437" s="3">
        <f t="shared" si="13"/>
        <v>158534</v>
      </c>
    </row>
    <row r="438" spans="1:7">
      <c r="A438" t="s">
        <v>118</v>
      </c>
      <c r="B438" t="s">
        <v>579</v>
      </c>
      <c r="C438" s="2">
        <v>46102</v>
      </c>
      <c r="D438" s="3">
        <v>2880</v>
      </c>
      <c r="E438" s="2">
        <v>46102</v>
      </c>
      <c r="F438">
        <f t="shared" ca="1" si="12"/>
        <v>133</v>
      </c>
      <c r="G438" s="3">
        <f t="shared" si="13"/>
        <v>158534</v>
      </c>
    </row>
    <row r="439" spans="1:7">
      <c r="A439" t="s">
        <v>118</v>
      </c>
      <c r="B439" t="s">
        <v>580</v>
      </c>
      <c r="C439" s="2">
        <v>46118</v>
      </c>
      <c r="D439" s="3">
        <v>2945</v>
      </c>
      <c r="E439" s="2">
        <v>46118</v>
      </c>
      <c r="F439">
        <f t="shared" ca="1" si="12"/>
        <v>117</v>
      </c>
      <c r="G439" s="3">
        <f t="shared" si="13"/>
        <v>158534</v>
      </c>
    </row>
    <row r="440" spans="1:7">
      <c r="A440" t="s">
        <v>118</v>
      </c>
      <c r="B440" t="s">
        <v>581</v>
      </c>
      <c r="C440" s="2">
        <v>46119</v>
      </c>
      <c r="D440" s="3">
        <v>2800</v>
      </c>
      <c r="E440" s="2">
        <v>46119</v>
      </c>
      <c r="F440">
        <f t="shared" ca="1" si="12"/>
        <v>116</v>
      </c>
      <c r="G440" s="3">
        <f t="shared" si="13"/>
        <v>158534</v>
      </c>
    </row>
    <row r="441" spans="1:7">
      <c r="A441" t="s">
        <v>118</v>
      </c>
      <c r="B441" t="s">
        <v>582</v>
      </c>
      <c r="C441" s="2">
        <v>46165</v>
      </c>
      <c r="D441" s="3">
        <v>3000</v>
      </c>
      <c r="E441" s="2">
        <v>46165</v>
      </c>
      <c r="F441">
        <f t="shared" ca="1" si="12"/>
        <v>70</v>
      </c>
      <c r="G441" s="3">
        <f t="shared" si="13"/>
        <v>158534</v>
      </c>
    </row>
    <row r="442" spans="1:7">
      <c r="A442" t="s">
        <v>118</v>
      </c>
      <c r="B442" t="s">
        <v>583</v>
      </c>
      <c r="C442" s="2">
        <v>46183</v>
      </c>
      <c r="D442" s="3">
        <v>5760</v>
      </c>
      <c r="E442" s="2">
        <v>46183</v>
      </c>
      <c r="F442">
        <f t="shared" ca="1" si="12"/>
        <v>52</v>
      </c>
      <c r="G442" s="3">
        <f t="shared" si="13"/>
        <v>158534</v>
      </c>
    </row>
    <row r="443" spans="1:7">
      <c r="A443" t="s">
        <v>118</v>
      </c>
      <c r="B443" t="s">
        <v>584</v>
      </c>
      <c r="C443" s="2">
        <v>46202</v>
      </c>
      <c r="D443" s="3">
        <v>2200</v>
      </c>
      <c r="E443" s="2">
        <v>46202</v>
      </c>
      <c r="F443">
        <f t="shared" ca="1" si="12"/>
        <v>33</v>
      </c>
      <c r="G443" s="3">
        <f t="shared" si="13"/>
        <v>158534</v>
      </c>
    </row>
    <row r="444" spans="1:7">
      <c r="A444" t="s">
        <v>118</v>
      </c>
      <c r="B444" t="s">
        <v>585</v>
      </c>
      <c r="C444" s="2">
        <v>46207</v>
      </c>
      <c r="D444" s="3">
        <v>2760</v>
      </c>
      <c r="E444" s="2">
        <v>46207</v>
      </c>
      <c r="F444">
        <f t="shared" ca="1" si="12"/>
        <v>28</v>
      </c>
      <c r="G444" s="3">
        <f t="shared" si="13"/>
        <v>158534</v>
      </c>
    </row>
    <row r="445" spans="1:7">
      <c r="A445" t="s">
        <v>118</v>
      </c>
      <c r="B445" t="s">
        <v>586</v>
      </c>
      <c r="C445" s="2">
        <v>46216</v>
      </c>
      <c r="D445" s="3">
        <v>8700</v>
      </c>
      <c r="E445" s="2">
        <v>46216</v>
      </c>
      <c r="F445">
        <f t="shared" ca="1" si="12"/>
        <v>19</v>
      </c>
      <c r="G445" s="3">
        <f t="shared" si="13"/>
        <v>158534</v>
      </c>
    </row>
    <row r="446" spans="1:7">
      <c r="A446" t="s">
        <v>118</v>
      </c>
      <c r="B446" t="s">
        <v>587</v>
      </c>
      <c r="C446" s="2">
        <v>46219</v>
      </c>
      <c r="D446" s="3">
        <v>29000</v>
      </c>
      <c r="E446" s="2">
        <v>46219</v>
      </c>
      <c r="F446">
        <f t="shared" ca="1" si="12"/>
        <v>16</v>
      </c>
      <c r="G446" s="3">
        <f t="shared" si="13"/>
        <v>158534</v>
      </c>
    </row>
    <row r="447" spans="1:7">
      <c r="A447" t="s">
        <v>118</v>
      </c>
      <c r="B447" t="s">
        <v>588</v>
      </c>
      <c r="C447" s="2">
        <v>46234</v>
      </c>
      <c r="D447" s="3">
        <v>1804</v>
      </c>
      <c r="E447" s="2">
        <v>46234</v>
      </c>
      <c r="F447">
        <f t="shared" ca="1" si="12"/>
        <v>1</v>
      </c>
      <c r="G447" s="3">
        <f t="shared" si="13"/>
        <v>158534</v>
      </c>
    </row>
    <row r="448" spans="1:7">
      <c r="A448" t="s">
        <v>119</v>
      </c>
      <c r="B448" t="s">
        <v>589</v>
      </c>
      <c r="C448" s="2">
        <v>46195</v>
      </c>
      <c r="D448" s="3">
        <v>7080</v>
      </c>
      <c r="E448" s="2">
        <v>46195</v>
      </c>
      <c r="F448">
        <f t="shared" ca="1" si="12"/>
        <v>40</v>
      </c>
      <c r="G448" s="3">
        <f t="shared" si="13"/>
        <v>7080</v>
      </c>
    </row>
    <row r="449" spans="1:7">
      <c r="A449" t="s">
        <v>120</v>
      </c>
      <c r="B449" t="s">
        <v>590</v>
      </c>
      <c r="C449" s="2">
        <v>46079</v>
      </c>
      <c r="D449" s="3">
        <v>2418</v>
      </c>
      <c r="E449" s="2">
        <v>46079</v>
      </c>
      <c r="F449">
        <f t="shared" ca="1" si="12"/>
        <v>156</v>
      </c>
      <c r="G449" s="3">
        <f t="shared" si="13"/>
        <v>109542</v>
      </c>
    </row>
    <row r="450" spans="1:7">
      <c r="A450" t="s">
        <v>120</v>
      </c>
      <c r="B450" t="s">
        <v>591</v>
      </c>
      <c r="C450" s="2">
        <v>46080</v>
      </c>
      <c r="D450" s="3">
        <v>9867</v>
      </c>
      <c r="E450" s="2">
        <v>46080</v>
      </c>
      <c r="F450">
        <f t="shared" ca="1" si="12"/>
        <v>155</v>
      </c>
      <c r="G450" s="3">
        <f t="shared" si="13"/>
        <v>109542</v>
      </c>
    </row>
    <row r="451" spans="1:7">
      <c r="A451" t="s">
        <v>120</v>
      </c>
      <c r="B451" t="s">
        <v>592</v>
      </c>
      <c r="C451" s="2">
        <v>46086</v>
      </c>
      <c r="D451" s="3">
        <v>350</v>
      </c>
      <c r="E451" s="2">
        <v>46086</v>
      </c>
      <c r="F451">
        <f t="shared" ca="1" si="12"/>
        <v>149</v>
      </c>
      <c r="G451" s="3">
        <f t="shared" si="13"/>
        <v>109542</v>
      </c>
    </row>
    <row r="452" spans="1:7">
      <c r="A452" t="s">
        <v>120</v>
      </c>
      <c r="B452" t="s">
        <v>593</v>
      </c>
      <c r="C452" s="2">
        <v>46090</v>
      </c>
      <c r="D452" s="3">
        <v>3044</v>
      </c>
      <c r="E452" s="2">
        <v>46090</v>
      </c>
      <c r="F452">
        <f t="shared" ca="1" si="12"/>
        <v>145</v>
      </c>
      <c r="G452" s="3">
        <f t="shared" si="13"/>
        <v>109542</v>
      </c>
    </row>
    <row r="453" spans="1:7">
      <c r="A453" t="s">
        <v>120</v>
      </c>
      <c r="B453" t="s">
        <v>594</v>
      </c>
      <c r="C453" s="2">
        <v>46093</v>
      </c>
      <c r="D453" s="3">
        <v>2100</v>
      </c>
      <c r="E453" s="2">
        <v>46093</v>
      </c>
      <c r="F453">
        <f t="shared" ref="F453:F516" ca="1" si="14">TODAY()-E453</f>
        <v>142</v>
      </c>
      <c r="G453" s="3">
        <f t="shared" ref="G453:G516" si="15">SUMIF($A$5:$A$563,A453,$D$5:$D$563)</f>
        <v>109542</v>
      </c>
    </row>
    <row r="454" spans="1:7">
      <c r="A454" t="s">
        <v>120</v>
      </c>
      <c r="B454" t="s">
        <v>595</v>
      </c>
      <c r="C454" s="2">
        <v>46095</v>
      </c>
      <c r="D454" s="3">
        <v>9122</v>
      </c>
      <c r="E454" s="2">
        <v>46095</v>
      </c>
      <c r="F454">
        <f t="shared" ca="1" si="14"/>
        <v>140</v>
      </c>
      <c r="G454" s="3">
        <f t="shared" si="15"/>
        <v>109542</v>
      </c>
    </row>
    <row r="455" spans="1:7">
      <c r="A455" t="s">
        <v>120</v>
      </c>
      <c r="B455" t="s">
        <v>596</v>
      </c>
      <c r="C455" s="2">
        <v>46099</v>
      </c>
      <c r="D455" s="3">
        <v>5931</v>
      </c>
      <c r="E455" s="2">
        <v>46099</v>
      </c>
      <c r="F455">
        <f t="shared" ca="1" si="14"/>
        <v>136</v>
      </c>
      <c r="G455" s="3">
        <f t="shared" si="15"/>
        <v>109542</v>
      </c>
    </row>
    <row r="456" spans="1:7">
      <c r="A456" t="s">
        <v>120</v>
      </c>
      <c r="B456" t="s">
        <v>597</v>
      </c>
      <c r="C456" s="2">
        <v>46100</v>
      </c>
      <c r="D456" s="3">
        <v>12100</v>
      </c>
      <c r="E456" s="2">
        <v>46100</v>
      </c>
      <c r="F456">
        <f t="shared" ca="1" si="14"/>
        <v>135</v>
      </c>
      <c r="G456" s="3">
        <f t="shared" si="15"/>
        <v>109542</v>
      </c>
    </row>
    <row r="457" spans="1:7">
      <c r="A457" t="s">
        <v>120</v>
      </c>
      <c r="B457" t="s">
        <v>598</v>
      </c>
      <c r="C457" s="2">
        <v>46105</v>
      </c>
      <c r="D457" s="3">
        <v>1315</v>
      </c>
      <c r="E457" s="2">
        <v>46105</v>
      </c>
      <c r="F457">
        <f t="shared" ca="1" si="14"/>
        <v>130</v>
      </c>
      <c r="G457" s="3">
        <f t="shared" si="15"/>
        <v>109542</v>
      </c>
    </row>
    <row r="458" spans="1:7">
      <c r="A458" t="s">
        <v>120</v>
      </c>
      <c r="B458" t="s">
        <v>599</v>
      </c>
      <c r="C458" s="2">
        <v>46106</v>
      </c>
      <c r="D458" s="3">
        <v>4680</v>
      </c>
      <c r="E458" s="2">
        <v>46106</v>
      </c>
      <c r="F458">
        <f t="shared" ca="1" si="14"/>
        <v>129</v>
      </c>
      <c r="G458" s="3">
        <f t="shared" si="15"/>
        <v>109542</v>
      </c>
    </row>
    <row r="459" spans="1:7">
      <c r="A459" t="s">
        <v>120</v>
      </c>
      <c r="B459" t="s">
        <v>600</v>
      </c>
      <c r="C459" s="2">
        <v>46109</v>
      </c>
      <c r="D459" s="3">
        <v>700</v>
      </c>
      <c r="E459" s="2">
        <v>46109</v>
      </c>
      <c r="F459">
        <f t="shared" ca="1" si="14"/>
        <v>126</v>
      </c>
      <c r="G459" s="3">
        <f t="shared" si="15"/>
        <v>109542</v>
      </c>
    </row>
    <row r="460" spans="1:7">
      <c r="A460" t="s">
        <v>120</v>
      </c>
      <c r="B460" t="s">
        <v>601</v>
      </c>
      <c r="C460" s="2">
        <v>46161</v>
      </c>
      <c r="D460" s="3">
        <v>2644</v>
      </c>
      <c r="E460" s="2">
        <v>46161</v>
      </c>
      <c r="F460">
        <f t="shared" ca="1" si="14"/>
        <v>74</v>
      </c>
      <c r="G460" s="3">
        <f t="shared" si="15"/>
        <v>109542</v>
      </c>
    </row>
    <row r="461" spans="1:7">
      <c r="A461" t="s">
        <v>120</v>
      </c>
      <c r="B461" t="s">
        <v>602</v>
      </c>
      <c r="C461" s="2">
        <v>46165</v>
      </c>
      <c r="D461" s="3">
        <v>2714</v>
      </c>
      <c r="E461" s="2">
        <v>46165</v>
      </c>
      <c r="F461">
        <f t="shared" ca="1" si="14"/>
        <v>70</v>
      </c>
      <c r="G461" s="3">
        <f t="shared" si="15"/>
        <v>109542</v>
      </c>
    </row>
    <row r="462" spans="1:7">
      <c r="A462" t="s">
        <v>120</v>
      </c>
      <c r="B462" t="s">
        <v>603</v>
      </c>
      <c r="C462" s="2">
        <v>46175</v>
      </c>
      <c r="D462" s="3">
        <v>11025</v>
      </c>
      <c r="E462" s="2">
        <v>46175</v>
      </c>
      <c r="F462">
        <f t="shared" ca="1" si="14"/>
        <v>60</v>
      </c>
      <c r="G462" s="3">
        <f t="shared" si="15"/>
        <v>109542</v>
      </c>
    </row>
    <row r="463" spans="1:7">
      <c r="A463" t="s">
        <v>120</v>
      </c>
      <c r="B463" t="s">
        <v>604</v>
      </c>
      <c r="C463" s="2">
        <v>46182</v>
      </c>
      <c r="D463" s="3">
        <v>1900</v>
      </c>
      <c r="E463" s="2">
        <v>46182</v>
      </c>
      <c r="F463">
        <f t="shared" ca="1" si="14"/>
        <v>53</v>
      </c>
      <c r="G463" s="3">
        <f t="shared" si="15"/>
        <v>109542</v>
      </c>
    </row>
    <row r="464" spans="1:7">
      <c r="A464" t="s">
        <v>120</v>
      </c>
      <c r="B464" t="s">
        <v>605</v>
      </c>
      <c r="C464" s="2">
        <v>46183</v>
      </c>
      <c r="D464" s="3">
        <v>5038</v>
      </c>
      <c r="E464" s="2">
        <v>46183</v>
      </c>
      <c r="F464">
        <f t="shared" ca="1" si="14"/>
        <v>52</v>
      </c>
      <c r="G464" s="3">
        <f t="shared" si="15"/>
        <v>109542</v>
      </c>
    </row>
    <row r="465" spans="1:7">
      <c r="A465" t="s">
        <v>120</v>
      </c>
      <c r="B465" t="s">
        <v>606</v>
      </c>
      <c r="C465" s="2">
        <v>46202</v>
      </c>
      <c r="D465" s="3">
        <v>2172</v>
      </c>
      <c r="E465" s="2">
        <v>46202</v>
      </c>
      <c r="F465">
        <f t="shared" ca="1" si="14"/>
        <v>33</v>
      </c>
      <c r="G465" s="3">
        <f t="shared" si="15"/>
        <v>109542</v>
      </c>
    </row>
    <row r="466" spans="1:7">
      <c r="A466" t="s">
        <v>120</v>
      </c>
      <c r="B466" t="s">
        <v>607</v>
      </c>
      <c r="C466" s="2">
        <v>46203</v>
      </c>
      <c r="D466" s="3">
        <v>3124</v>
      </c>
      <c r="E466" s="2">
        <v>46203</v>
      </c>
      <c r="F466">
        <f t="shared" ca="1" si="14"/>
        <v>32</v>
      </c>
      <c r="G466" s="3">
        <f t="shared" si="15"/>
        <v>109542</v>
      </c>
    </row>
    <row r="467" spans="1:7">
      <c r="A467" t="s">
        <v>120</v>
      </c>
      <c r="B467" t="s">
        <v>608</v>
      </c>
      <c r="C467" s="2">
        <v>46204</v>
      </c>
      <c r="D467" s="3">
        <v>1400</v>
      </c>
      <c r="E467" s="2">
        <v>46204</v>
      </c>
      <c r="F467">
        <f t="shared" ca="1" si="14"/>
        <v>31</v>
      </c>
      <c r="G467" s="3">
        <f t="shared" si="15"/>
        <v>109542</v>
      </c>
    </row>
    <row r="468" spans="1:7">
      <c r="A468" t="s">
        <v>120</v>
      </c>
      <c r="B468" t="s">
        <v>609</v>
      </c>
      <c r="C468" s="2">
        <v>46212</v>
      </c>
      <c r="D468" s="3">
        <v>619</v>
      </c>
      <c r="E468" s="2">
        <v>46212</v>
      </c>
      <c r="F468">
        <f t="shared" ca="1" si="14"/>
        <v>23</v>
      </c>
      <c r="G468" s="3">
        <f t="shared" si="15"/>
        <v>109542</v>
      </c>
    </row>
    <row r="469" spans="1:7">
      <c r="A469" t="s">
        <v>120</v>
      </c>
      <c r="B469" t="s">
        <v>610</v>
      </c>
      <c r="C469" s="2">
        <v>46213</v>
      </c>
      <c r="D469" s="3">
        <v>11025</v>
      </c>
      <c r="E469" s="2">
        <v>46213</v>
      </c>
      <c r="F469">
        <f t="shared" ca="1" si="14"/>
        <v>22</v>
      </c>
      <c r="G469" s="3">
        <f t="shared" si="15"/>
        <v>109542</v>
      </c>
    </row>
    <row r="470" spans="1:7">
      <c r="A470" t="s">
        <v>120</v>
      </c>
      <c r="B470" t="s">
        <v>611</v>
      </c>
      <c r="C470" s="2">
        <v>46218</v>
      </c>
      <c r="D470" s="3">
        <v>2090</v>
      </c>
      <c r="E470" s="2">
        <v>46218</v>
      </c>
      <c r="F470">
        <f t="shared" ca="1" si="14"/>
        <v>17</v>
      </c>
      <c r="G470" s="3">
        <f t="shared" si="15"/>
        <v>109542</v>
      </c>
    </row>
    <row r="471" spans="1:7">
      <c r="A471" t="s">
        <v>120</v>
      </c>
      <c r="B471" t="s">
        <v>612</v>
      </c>
      <c r="C471" s="2">
        <v>46223</v>
      </c>
      <c r="D471" s="3">
        <v>4000</v>
      </c>
      <c r="E471" s="2">
        <v>46223</v>
      </c>
      <c r="F471">
        <f t="shared" ca="1" si="14"/>
        <v>12</v>
      </c>
      <c r="G471" s="3">
        <f t="shared" si="15"/>
        <v>109542</v>
      </c>
    </row>
    <row r="472" spans="1:7">
      <c r="A472" t="s">
        <v>120</v>
      </c>
      <c r="B472" t="s">
        <v>613</v>
      </c>
      <c r="C472" s="2">
        <v>46227</v>
      </c>
      <c r="D472" s="3">
        <v>10164</v>
      </c>
      <c r="E472" s="2">
        <v>46227</v>
      </c>
      <c r="F472">
        <f t="shared" ca="1" si="14"/>
        <v>8</v>
      </c>
      <c r="G472" s="3">
        <f t="shared" si="15"/>
        <v>109542</v>
      </c>
    </row>
    <row r="473" spans="1:7">
      <c r="A473" t="s">
        <v>121</v>
      </c>
      <c r="B473" t="s">
        <v>614</v>
      </c>
      <c r="C473" s="2">
        <v>46235</v>
      </c>
      <c r="D473" s="3">
        <v>4500</v>
      </c>
      <c r="E473" s="2">
        <v>46235</v>
      </c>
      <c r="F473">
        <f t="shared" ca="1" si="14"/>
        <v>0</v>
      </c>
      <c r="G473" s="3">
        <f t="shared" si="15"/>
        <v>4500</v>
      </c>
    </row>
    <row r="474" spans="1:7">
      <c r="A474" t="s">
        <v>122</v>
      </c>
      <c r="B474" t="s">
        <v>615</v>
      </c>
      <c r="C474" s="2">
        <v>46083</v>
      </c>
      <c r="D474" s="3">
        <v>1083</v>
      </c>
      <c r="E474" s="2">
        <v>46083</v>
      </c>
      <c r="F474">
        <f t="shared" ca="1" si="14"/>
        <v>152</v>
      </c>
      <c r="G474" s="3">
        <f t="shared" si="15"/>
        <v>22615</v>
      </c>
    </row>
    <row r="475" spans="1:7">
      <c r="A475" t="s">
        <v>122</v>
      </c>
      <c r="B475" t="s">
        <v>616</v>
      </c>
      <c r="C475" s="2">
        <v>46093</v>
      </c>
      <c r="D475" s="3">
        <v>2630</v>
      </c>
      <c r="E475" s="2">
        <v>46093</v>
      </c>
      <c r="F475">
        <f t="shared" ca="1" si="14"/>
        <v>142</v>
      </c>
      <c r="G475" s="3">
        <f t="shared" si="15"/>
        <v>22615</v>
      </c>
    </row>
    <row r="476" spans="1:7">
      <c r="A476" t="s">
        <v>122</v>
      </c>
      <c r="B476" t="s">
        <v>617</v>
      </c>
      <c r="C476" s="2">
        <v>46125</v>
      </c>
      <c r="D476" s="3">
        <v>6183</v>
      </c>
      <c r="E476" s="2">
        <v>46125</v>
      </c>
      <c r="F476">
        <f t="shared" ca="1" si="14"/>
        <v>110</v>
      </c>
      <c r="G476" s="3">
        <f t="shared" si="15"/>
        <v>22615</v>
      </c>
    </row>
    <row r="477" spans="1:7">
      <c r="A477" t="s">
        <v>122</v>
      </c>
      <c r="B477" t="s">
        <v>618</v>
      </c>
      <c r="C477" s="2">
        <v>46181</v>
      </c>
      <c r="D477" s="3">
        <v>8744</v>
      </c>
      <c r="E477" s="2">
        <v>46181</v>
      </c>
      <c r="F477">
        <f t="shared" ca="1" si="14"/>
        <v>54</v>
      </c>
      <c r="G477" s="3">
        <f t="shared" si="15"/>
        <v>22615</v>
      </c>
    </row>
    <row r="478" spans="1:7">
      <c r="A478" t="s">
        <v>122</v>
      </c>
      <c r="B478" t="s">
        <v>619</v>
      </c>
      <c r="C478" s="2">
        <v>46207</v>
      </c>
      <c r="D478" s="3">
        <v>3975</v>
      </c>
      <c r="E478" s="2">
        <v>46207</v>
      </c>
      <c r="F478">
        <f t="shared" ca="1" si="14"/>
        <v>28</v>
      </c>
      <c r="G478" s="3">
        <f t="shared" si="15"/>
        <v>22615</v>
      </c>
    </row>
    <row r="479" spans="1:7">
      <c r="A479" t="s">
        <v>123</v>
      </c>
      <c r="B479" t="s">
        <v>620</v>
      </c>
      <c r="C479" s="2">
        <v>46209</v>
      </c>
      <c r="D479" s="3">
        <v>2360</v>
      </c>
      <c r="E479" s="2">
        <v>46209</v>
      </c>
      <c r="F479">
        <f t="shared" ca="1" si="14"/>
        <v>26</v>
      </c>
      <c r="G479" s="3">
        <f t="shared" si="15"/>
        <v>2360</v>
      </c>
    </row>
    <row r="480" spans="1:7">
      <c r="A480" t="s">
        <v>124</v>
      </c>
      <c r="B480" t="s">
        <v>621</v>
      </c>
      <c r="C480" s="2">
        <v>46223</v>
      </c>
      <c r="D480" s="3">
        <v>4650</v>
      </c>
      <c r="E480" s="2">
        <v>46223</v>
      </c>
      <c r="F480">
        <f t="shared" ca="1" si="14"/>
        <v>12</v>
      </c>
      <c r="G480" s="3">
        <f t="shared" si="15"/>
        <v>4650</v>
      </c>
    </row>
    <row r="481" spans="1:7">
      <c r="A481" t="s">
        <v>125</v>
      </c>
      <c r="B481" t="s">
        <v>622</v>
      </c>
      <c r="C481" s="2">
        <v>46169</v>
      </c>
      <c r="D481" s="3">
        <v>43881</v>
      </c>
      <c r="E481" s="2">
        <v>46169</v>
      </c>
      <c r="F481">
        <f t="shared" ca="1" si="14"/>
        <v>66</v>
      </c>
      <c r="G481" s="3">
        <f t="shared" si="15"/>
        <v>43881</v>
      </c>
    </row>
    <row r="482" spans="1:7">
      <c r="A482" t="s">
        <v>126</v>
      </c>
      <c r="B482" t="s">
        <v>623</v>
      </c>
      <c r="C482" s="2">
        <v>46165</v>
      </c>
      <c r="D482" s="3">
        <v>3599</v>
      </c>
      <c r="E482" s="2">
        <v>46165</v>
      </c>
      <c r="F482">
        <f t="shared" ca="1" si="14"/>
        <v>70</v>
      </c>
      <c r="G482" s="3">
        <f t="shared" si="15"/>
        <v>19046</v>
      </c>
    </row>
    <row r="483" spans="1:7">
      <c r="A483" t="s">
        <v>126</v>
      </c>
      <c r="B483" t="s">
        <v>624</v>
      </c>
      <c r="C483" s="2">
        <v>46174</v>
      </c>
      <c r="D483" s="3">
        <v>1145</v>
      </c>
      <c r="E483" s="2">
        <v>46174</v>
      </c>
      <c r="F483">
        <f t="shared" ca="1" si="14"/>
        <v>61</v>
      </c>
      <c r="G483" s="3">
        <f t="shared" si="15"/>
        <v>19046</v>
      </c>
    </row>
    <row r="484" spans="1:7">
      <c r="A484" t="s">
        <v>126</v>
      </c>
      <c r="B484" t="s">
        <v>625</v>
      </c>
      <c r="C484" s="2">
        <v>46181</v>
      </c>
      <c r="D484" s="3">
        <v>4248</v>
      </c>
      <c r="E484" s="2">
        <v>46181</v>
      </c>
      <c r="F484">
        <f t="shared" ca="1" si="14"/>
        <v>54</v>
      </c>
      <c r="G484" s="3">
        <f t="shared" si="15"/>
        <v>19046</v>
      </c>
    </row>
    <row r="485" spans="1:7">
      <c r="A485" t="s">
        <v>126</v>
      </c>
      <c r="B485" t="s">
        <v>626</v>
      </c>
      <c r="C485" s="2">
        <v>46198</v>
      </c>
      <c r="D485" s="3">
        <v>531</v>
      </c>
      <c r="E485" s="2">
        <v>46198</v>
      </c>
      <c r="F485">
        <f t="shared" ca="1" si="14"/>
        <v>37</v>
      </c>
      <c r="G485" s="3">
        <f t="shared" si="15"/>
        <v>19046</v>
      </c>
    </row>
    <row r="486" spans="1:7">
      <c r="A486" t="s">
        <v>126</v>
      </c>
      <c r="B486" t="s">
        <v>627</v>
      </c>
      <c r="C486" s="2">
        <v>46206</v>
      </c>
      <c r="D486" s="3">
        <v>4779</v>
      </c>
      <c r="E486" s="2">
        <v>46206</v>
      </c>
      <c r="F486">
        <f t="shared" ca="1" si="14"/>
        <v>29</v>
      </c>
      <c r="G486" s="3">
        <f t="shared" si="15"/>
        <v>19046</v>
      </c>
    </row>
    <row r="487" spans="1:7">
      <c r="A487" t="s">
        <v>126</v>
      </c>
      <c r="B487" t="s">
        <v>628</v>
      </c>
      <c r="C487" s="2">
        <v>46217</v>
      </c>
      <c r="D487" s="3">
        <v>3776</v>
      </c>
      <c r="E487" s="2">
        <v>46217</v>
      </c>
      <c r="F487">
        <f t="shared" ca="1" si="14"/>
        <v>18</v>
      </c>
      <c r="G487" s="3">
        <f t="shared" si="15"/>
        <v>19046</v>
      </c>
    </row>
    <row r="488" spans="1:7">
      <c r="A488" t="s">
        <v>126</v>
      </c>
      <c r="B488" t="s">
        <v>629</v>
      </c>
      <c r="C488" s="2">
        <v>46225</v>
      </c>
      <c r="D488" s="3">
        <v>968</v>
      </c>
      <c r="E488" s="2">
        <v>46225</v>
      </c>
      <c r="F488">
        <f t="shared" ca="1" si="14"/>
        <v>10</v>
      </c>
      <c r="G488" s="3">
        <f t="shared" si="15"/>
        <v>19046</v>
      </c>
    </row>
    <row r="489" spans="1:7">
      <c r="A489" t="s">
        <v>127</v>
      </c>
      <c r="B489" t="s">
        <v>630</v>
      </c>
      <c r="C489" s="2">
        <v>46204</v>
      </c>
      <c r="D489" s="3">
        <v>6210</v>
      </c>
      <c r="E489" s="2">
        <v>46204</v>
      </c>
      <c r="F489">
        <f t="shared" ca="1" si="14"/>
        <v>31</v>
      </c>
      <c r="G489" s="3">
        <f t="shared" si="15"/>
        <v>7480</v>
      </c>
    </row>
    <row r="490" spans="1:7">
      <c r="A490" t="s">
        <v>127</v>
      </c>
      <c r="B490" t="s">
        <v>631</v>
      </c>
      <c r="C490" s="2">
        <v>46211</v>
      </c>
      <c r="D490" s="3">
        <v>520</v>
      </c>
      <c r="E490" s="2">
        <v>46211</v>
      </c>
      <c r="F490">
        <f t="shared" ca="1" si="14"/>
        <v>24</v>
      </c>
      <c r="G490" s="3">
        <f t="shared" si="15"/>
        <v>7480</v>
      </c>
    </row>
    <row r="491" spans="1:7">
      <c r="A491" t="s">
        <v>127</v>
      </c>
      <c r="B491" t="s">
        <v>632</v>
      </c>
      <c r="C491" s="2">
        <v>46213</v>
      </c>
      <c r="D491" s="3">
        <v>750</v>
      </c>
      <c r="E491" s="2">
        <v>46213</v>
      </c>
      <c r="F491">
        <f t="shared" ca="1" si="14"/>
        <v>22</v>
      </c>
      <c r="G491" s="3">
        <f t="shared" si="15"/>
        <v>7480</v>
      </c>
    </row>
    <row r="492" spans="1:7">
      <c r="A492" t="s">
        <v>128</v>
      </c>
      <c r="B492" t="s">
        <v>633</v>
      </c>
      <c r="C492" s="2">
        <v>46200</v>
      </c>
      <c r="D492" s="3">
        <v>20730</v>
      </c>
      <c r="E492" s="2">
        <v>46200</v>
      </c>
      <c r="F492">
        <f t="shared" ca="1" si="14"/>
        <v>35</v>
      </c>
      <c r="G492" s="3">
        <f t="shared" si="15"/>
        <v>29138</v>
      </c>
    </row>
    <row r="493" spans="1:7">
      <c r="A493" t="s">
        <v>128</v>
      </c>
      <c r="B493" t="s">
        <v>634</v>
      </c>
      <c r="C493" s="2">
        <v>46207</v>
      </c>
      <c r="D493" s="3">
        <v>270</v>
      </c>
      <c r="E493" s="2">
        <v>46207</v>
      </c>
      <c r="F493">
        <f t="shared" ca="1" si="14"/>
        <v>28</v>
      </c>
      <c r="G493" s="3">
        <f t="shared" si="15"/>
        <v>29138</v>
      </c>
    </row>
    <row r="494" spans="1:7">
      <c r="A494" t="s">
        <v>128</v>
      </c>
      <c r="B494" t="s">
        <v>635</v>
      </c>
      <c r="C494" s="2">
        <v>46214</v>
      </c>
      <c r="D494" s="3">
        <v>450</v>
      </c>
      <c r="E494" s="2">
        <v>46214</v>
      </c>
      <c r="F494">
        <f t="shared" ca="1" si="14"/>
        <v>21</v>
      </c>
      <c r="G494" s="3">
        <f t="shared" si="15"/>
        <v>29138</v>
      </c>
    </row>
    <row r="495" spans="1:7">
      <c r="A495" t="s">
        <v>128</v>
      </c>
      <c r="B495" t="s">
        <v>636</v>
      </c>
      <c r="C495" s="2">
        <v>46226</v>
      </c>
      <c r="D495" s="3">
        <v>1008</v>
      </c>
      <c r="E495" s="2">
        <v>46226</v>
      </c>
      <c r="F495">
        <f t="shared" ca="1" si="14"/>
        <v>9</v>
      </c>
      <c r="G495" s="3">
        <f t="shared" si="15"/>
        <v>29138</v>
      </c>
    </row>
    <row r="496" spans="1:7">
      <c r="A496" t="s">
        <v>128</v>
      </c>
      <c r="B496" t="s">
        <v>637</v>
      </c>
      <c r="C496" s="2">
        <v>46230</v>
      </c>
      <c r="D496" s="3">
        <v>6480</v>
      </c>
      <c r="E496" s="2">
        <v>46230</v>
      </c>
      <c r="F496">
        <f t="shared" ca="1" si="14"/>
        <v>5</v>
      </c>
      <c r="G496" s="3">
        <f t="shared" si="15"/>
        <v>29138</v>
      </c>
    </row>
    <row r="497" spans="1:7">
      <c r="A497" t="s">
        <v>128</v>
      </c>
      <c r="B497" t="s">
        <v>638</v>
      </c>
      <c r="C497" s="2">
        <v>46235</v>
      </c>
      <c r="D497" s="3">
        <v>200</v>
      </c>
      <c r="E497" s="2">
        <v>46235</v>
      </c>
      <c r="F497">
        <f t="shared" ca="1" si="14"/>
        <v>0</v>
      </c>
      <c r="G497" s="3">
        <f t="shared" si="15"/>
        <v>29138</v>
      </c>
    </row>
    <row r="498" spans="1:7">
      <c r="A498" t="s">
        <v>129</v>
      </c>
      <c r="B498" t="s">
        <v>639</v>
      </c>
      <c r="C498" s="2">
        <v>46073</v>
      </c>
      <c r="D498" s="3">
        <v>12500</v>
      </c>
      <c r="E498" s="2">
        <v>46073</v>
      </c>
      <c r="F498">
        <f t="shared" ca="1" si="14"/>
        <v>162</v>
      </c>
      <c r="G498" s="3">
        <f t="shared" si="15"/>
        <v>68445</v>
      </c>
    </row>
    <row r="499" spans="1:7">
      <c r="A499" t="s">
        <v>129</v>
      </c>
      <c r="B499" t="s">
        <v>640</v>
      </c>
      <c r="C499" s="2">
        <v>46074</v>
      </c>
      <c r="D499" s="3">
        <v>3570</v>
      </c>
      <c r="E499" s="2">
        <v>46074</v>
      </c>
      <c r="F499">
        <f t="shared" ca="1" si="14"/>
        <v>161</v>
      </c>
      <c r="G499" s="3">
        <f t="shared" si="15"/>
        <v>68445</v>
      </c>
    </row>
    <row r="500" spans="1:7">
      <c r="A500" t="s">
        <v>129</v>
      </c>
      <c r="B500" t="s">
        <v>641</v>
      </c>
      <c r="C500" s="2">
        <v>46078</v>
      </c>
      <c r="D500" s="3">
        <v>1339</v>
      </c>
      <c r="E500" s="2">
        <v>46078</v>
      </c>
      <c r="F500">
        <f t="shared" ca="1" si="14"/>
        <v>157</v>
      </c>
      <c r="G500" s="3">
        <f t="shared" si="15"/>
        <v>68445</v>
      </c>
    </row>
    <row r="501" spans="1:7">
      <c r="A501" t="s">
        <v>129</v>
      </c>
      <c r="B501" t="s">
        <v>642</v>
      </c>
      <c r="C501" s="2">
        <v>46079</v>
      </c>
      <c r="D501" s="3">
        <v>4640</v>
      </c>
      <c r="E501" s="2">
        <v>46079</v>
      </c>
      <c r="F501">
        <f t="shared" ca="1" si="14"/>
        <v>156</v>
      </c>
      <c r="G501" s="3">
        <f t="shared" si="15"/>
        <v>68445</v>
      </c>
    </row>
    <row r="502" spans="1:7">
      <c r="A502" t="s">
        <v>129</v>
      </c>
      <c r="B502" t="s">
        <v>643</v>
      </c>
      <c r="C502" s="2">
        <v>46079</v>
      </c>
      <c r="D502" s="3">
        <v>180</v>
      </c>
      <c r="E502" s="2">
        <v>46079</v>
      </c>
      <c r="F502">
        <f t="shared" ca="1" si="14"/>
        <v>156</v>
      </c>
      <c r="G502" s="3">
        <f t="shared" si="15"/>
        <v>68445</v>
      </c>
    </row>
    <row r="503" spans="1:7">
      <c r="A503" t="s">
        <v>129</v>
      </c>
      <c r="B503" t="s">
        <v>644</v>
      </c>
      <c r="C503" s="2">
        <v>46081</v>
      </c>
      <c r="D503" s="3">
        <v>1250</v>
      </c>
      <c r="E503" s="2">
        <v>46081</v>
      </c>
      <c r="F503">
        <f t="shared" ca="1" si="14"/>
        <v>154</v>
      </c>
      <c r="G503" s="3">
        <f t="shared" si="15"/>
        <v>68445</v>
      </c>
    </row>
    <row r="504" spans="1:7">
      <c r="A504" t="s">
        <v>129</v>
      </c>
      <c r="B504" t="s">
        <v>645</v>
      </c>
      <c r="C504" s="2">
        <v>46084</v>
      </c>
      <c r="D504" s="3">
        <v>3588</v>
      </c>
      <c r="E504" s="2">
        <v>46084</v>
      </c>
      <c r="F504">
        <f t="shared" ca="1" si="14"/>
        <v>151</v>
      </c>
      <c r="G504" s="3">
        <f t="shared" si="15"/>
        <v>68445</v>
      </c>
    </row>
    <row r="505" spans="1:7">
      <c r="A505" t="s">
        <v>129</v>
      </c>
      <c r="B505" t="s">
        <v>646</v>
      </c>
      <c r="C505" s="2">
        <v>46174</v>
      </c>
      <c r="D505" s="3">
        <v>5573</v>
      </c>
      <c r="E505" s="2">
        <v>46174</v>
      </c>
      <c r="F505">
        <f t="shared" ca="1" si="14"/>
        <v>61</v>
      </c>
      <c r="G505" s="3">
        <f t="shared" si="15"/>
        <v>68445</v>
      </c>
    </row>
    <row r="506" spans="1:7">
      <c r="A506" t="s">
        <v>129</v>
      </c>
      <c r="B506" t="s">
        <v>647</v>
      </c>
      <c r="C506" s="2">
        <v>46175</v>
      </c>
      <c r="D506" s="3">
        <v>4200</v>
      </c>
      <c r="E506" s="2">
        <v>46175</v>
      </c>
      <c r="F506">
        <f t="shared" ca="1" si="14"/>
        <v>60</v>
      </c>
      <c r="G506" s="3">
        <f t="shared" si="15"/>
        <v>68445</v>
      </c>
    </row>
    <row r="507" spans="1:7">
      <c r="A507" t="s">
        <v>129</v>
      </c>
      <c r="B507" t="s">
        <v>648</v>
      </c>
      <c r="C507" s="2">
        <v>46188</v>
      </c>
      <c r="D507" s="3">
        <v>3460</v>
      </c>
      <c r="E507" s="2">
        <v>46188</v>
      </c>
      <c r="F507">
        <f t="shared" ca="1" si="14"/>
        <v>47</v>
      </c>
      <c r="G507" s="3">
        <f t="shared" si="15"/>
        <v>68445</v>
      </c>
    </row>
    <row r="508" spans="1:7">
      <c r="A508" t="s">
        <v>129</v>
      </c>
      <c r="B508" t="s">
        <v>649</v>
      </c>
      <c r="C508" s="2">
        <v>46199</v>
      </c>
      <c r="D508" s="3">
        <v>4200</v>
      </c>
      <c r="E508" s="2">
        <v>46199</v>
      </c>
      <c r="F508">
        <f t="shared" ca="1" si="14"/>
        <v>36</v>
      </c>
      <c r="G508" s="3">
        <f t="shared" si="15"/>
        <v>68445</v>
      </c>
    </row>
    <row r="509" spans="1:7">
      <c r="A509" t="s">
        <v>129</v>
      </c>
      <c r="B509" t="s">
        <v>650</v>
      </c>
      <c r="C509" s="2">
        <v>46202</v>
      </c>
      <c r="D509" s="3">
        <v>4200</v>
      </c>
      <c r="E509" s="2">
        <v>46202</v>
      </c>
      <c r="F509">
        <f t="shared" ca="1" si="14"/>
        <v>33</v>
      </c>
      <c r="G509" s="3">
        <f t="shared" si="15"/>
        <v>68445</v>
      </c>
    </row>
    <row r="510" spans="1:7">
      <c r="A510" t="s">
        <v>129</v>
      </c>
      <c r="B510" t="s">
        <v>651</v>
      </c>
      <c r="C510" s="2">
        <v>46210</v>
      </c>
      <c r="D510" s="3">
        <v>9245</v>
      </c>
      <c r="E510" s="2">
        <v>46210</v>
      </c>
      <c r="F510">
        <f t="shared" ca="1" si="14"/>
        <v>25</v>
      </c>
      <c r="G510" s="3">
        <f t="shared" si="15"/>
        <v>68445</v>
      </c>
    </row>
    <row r="511" spans="1:7">
      <c r="A511" t="s">
        <v>129</v>
      </c>
      <c r="B511" t="s">
        <v>652</v>
      </c>
      <c r="C511" s="2">
        <v>46213</v>
      </c>
      <c r="D511" s="3">
        <v>4200</v>
      </c>
      <c r="E511" s="2">
        <v>46213</v>
      </c>
      <c r="F511">
        <f t="shared" ca="1" si="14"/>
        <v>22</v>
      </c>
      <c r="G511" s="3">
        <f t="shared" si="15"/>
        <v>68445</v>
      </c>
    </row>
    <row r="512" spans="1:7">
      <c r="A512" t="s">
        <v>129</v>
      </c>
      <c r="B512" t="s">
        <v>653</v>
      </c>
      <c r="C512" s="2">
        <v>46223</v>
      </c>
      <c r="D512" s="3">
        <v>4200</v>
      </c>
      <c r="E512" s="2">
        <v>46223</v>
      </c>
      <c r="F512">
        <f t="shared" ca="1" si="14"/>
        <v>12</v>
      </c>
      <c r="G512" s="3">
        <f t="shared" si="15"/>
        <v>68445</v>
      </c>
    </row>
    <row r="513" spans="1:7">
      <c r="A513" t="s">
        <v>129</v>
      </c>
      <c r="B513" t="s">
        <v>654</v>
      </c>
      <c r="C513" s="2">
        <v>46224</v>
      </c>
      <c r="D513" s="3">
        <v>2100</v>
      </c>
      <c r="E513" s="2">
        <v>46224</v>
      </c>
      <c r="F513">
        <f t="shared" ca="1" si="14"/>
        <v>11</v>
      </c>
      <c r="G513" s="3">
        <f t="shared" si="15"/>
        <v>68445</v>
      </c>
    </row>
    <row r="514" spans="1:7">
      <c r="A514" t="s">
        <v>130</v>
      </c>
      <c r="B514" t="s">
        <v>655</v>
      </c>
      <c r="C514" s="2">
        <v>46213</v>
      </c>
      <c r="D514" s="3">
        <v>2673</v>
      </c>
      <c r="E514" s="2">
        <v>46213</v>
      </c>
      <c r="F514">
        <f t="shared" ca="1" si="14"/>
        <v>22</v>
      </c>
      <c r="G514" s="3">
        <f t="shared" si="15"/>
        <v>23173</v>
      </c>
    </row>
    <row r="515" spans="1:7">
      <c r="A515" t="s">
        <v>130</v>
      </c>
      <c r="B515" t="s">
        <v>656</v>
      </c>
      <c r="C515" s="2">
        <v>46232</v>
      </c>
      <c r="D515" s="3">
        <v>20500</v>
      </c>
      <c r="E515" s="2">
        <v>46232</v>
      </c>
      <c r="F515">
        <f t="shared" ca="1" si="14"/>
        <v>3</v>
      </c>
      <c r="G515" s="3">
        <f t="shared" si="15"/>
        <v>23173</v>
      </c>
    </row>
    <row r="516" spans="1:7">
      <c r="A516" t="s">
        <v>131</v>
      </c>
      <c r="B516" t="s">
        <v>657</v>
      </c>
      <c r="C516" s="2">
        <v>46070</v>
      </c>
      <c r="D516" s="3">
        <v>625</v>
      </c>
      <c r="E516" s="2">
        <v>46070</v>
      </c>
      <c r="F516">
        <f t="shared" ca="1" si="14"/>
        <v>165</v>
      </c>
      <c r="G516" s="3">
        <f t="shared" si="15"/>
        <v>86975</v>
      </c>
    </row>
    <row r="517" spans="1:7">
      <c r="A517" t="s">
        <v>131</v>
      </c>
      <c r="B517" t="s">
        <v>658</v>
      </c>
      <c r="C517" s="2">
        <v>46091</v>
      </c>
      <c r="D517" s="3">
        <v>8446</v>
      </c>
      <c r="E517" s="2">
        <v>46091</v>
      </c>
      <c r="F517">
        <f t="shared" ref="F517:F580" ca="1" si="16">TODAY()-E517</f>
        <v>144</v>
      </c>
      <c r="G517" s="3">
        <f t="shared" ref="G517:G563" si="17">SUMIF($A$5:$A$563,A517,$D$5:$D$563)</f>
        <v>86975</v>
      </c>
    </row>
    <row r="518" spans="1:7">
      <c r="A518" t="s">
        <v>131</v>
      </c>
      <c r="B518" t="s">
        <v>659</v>
      </c>
      <c r="C518" s="2">
        <v>46116</v>
      </c>
      <c r="D518" s="3">
        <v>22323</v>
      </c>
      <c r="E518" s="2">
        <v>46116</v>
      </c>
      <c r="F518">
        <f t="shared" ca="1" si="16"/>
        <v>119</v>
      </c>
      <c r="G518" s="3">
        <f t="shared" si="17"/>
        <v>86975</v>
      </c>
    </row>
    <row r="519" spans="1:7">
      <c r="A519" t="s">
        <v>131</v>
      </c>
      <c r="B519" t="s">
        <v>660</v>
      </c>
      <c r="C519" s="2">
        <v>46140</v>
      </c>
      <c r="D519" s="3">
        <v>3801</v>
      </c>
      <c r="E519" s="2">
        <v>46140</v>
      </c>
      <c r="F519">
        <f t="shared" ca="1" si="16"/>
        <v>95</v>
      </c>
      <c r="G519" s="3">
        <f t="shared" si="17"/>
        <v>86975</v>
      </c>
    </row>
    <row r="520" spans="1:7">
      <c r="A520" t="s">
        <v>131</v>
      </c>
      <c r="B520" t="s">
        <v>661</v>
      </c>
      <c r="C520" s="2">
        <v>46144</v>
      </c>
      <c r="D520" s="3">
        <v>17463</v>
      </c>
      <c r="E520" s="2">
        <v>46144</v>
      </c>
      <c r="F520">
        <f t="shared" ca="1" si="16"/>
        <v>91</v>
      </c>
      <c r="G520" s="3">
        <f t="shared" si="17"/>
        <v>86975</v>
      </c>
    </row>
    <row r="521" spans="1:7">
      <c r="A521" t="s">
        <v>131</v>
      </c>
      <c r="B521" t="s">
        <v>662</v>
      </c>
      <c r="C521" s="2">
        <v>46157</v>
      </c>
      <c r="D521" s="3">
        <v>368</v>
      </c>
      <c r="E521" s="2">
        <v>46157</v>
      </c>
      <c r="F521">
        <f t="shared" ca="1" si="16"/>
        <v>78</v>
      </c>
      <c r="G521" s="3">
        <f t="shared" si="17"/>
        <v>86975</v>
      </c>
    </row>
    <row r="522" spans="1:7">
      <c r="A522" t="s">
        <v>131</v>
      </c>
      <c r="B522" t="s">
        <v>663</v>
      </c>
      <c r="C522" s="2">
        <v>46161</v>
      </c>
      <c r="D522" s="3">
        <v>10500</v>
      </c>
      <c r="E522" s="2">
        <v>46161</v>
      </c>
      <c r="F522">
        <f t="shared" ca="1" si="16"/>
        <v>74</v>
      </c>
      <c r="G522" s="3">
        <f t="shared" si="17"/>
        <v>86975</v>
      </c>
    </row>
    <row r="523" spans="1:7">
      <c r="A523" t="s">
        <v>131</v>
      </c>
      <c r="B523" t="s">
        <v>664</v>
      </c>
      <c r="C523" s="2">
        <v>46165</v>
      </c>
      <c r="D523" s="3">
        <v>420</v>
      </c>
      <c r="E523" s="2">
        <v>46165</v>
      </c>
      <c r="F523">
        <f t="shared" ca="1" si="16"/>
        <v>70</v>
      </c>
      <c r="G523" s="3">
        <f t="shared" si="17"/>
        <v>86975</v>
      </c>
    </row>
    <row r="524" spans="1:7">
      <c r="A524" t="s">
        <v>131</v>
      </c>
      <c r="B524" t="s">
        <v>665</v>
      </c>
      <c r="C524" s="2">
        <v>46165</v>
      </c>
      <c r="D524" s="3">
        <v>1400</v>
      </c>
      <c r="E524" s="2">
        <v>46165</v>
      </c>
      <c r="F524">
        <f t="shared" ca="1" si="16"/>
        <v>70</v>
      </c>
      <c r="G524" s="3">
        <f t="shared" si="17"/>
        <v>86975</v>
      </c>
    </row>
    <row r="525" spans="1:7">
      <c r="A525" t="s">
        <v>131</v>
      </c>
      <c r="B525" t="s">
        <v>666</v>
      </c>
      <c r="C525" s="2">
        <v>46165</v>
      </c>
      <c r="D525" s="3">
        <v>700</v>
      </c>
      <c r="E525" s="2">
        <v>46165</v>
      </c>
      <c r="F525">
        <f t="shared" ca="1" si="16"/>
        <v>70</v>
      </c>
      <c r="G525" s="3">
        <f t="shared" si="17"/>
        <v>86975</v>
      </c>
    </row>
    <row r="526" spans="1:7">
      <c r="A526" t="s">
        <v>131</v>
      </c>
      <c r="B526" t="s">
        <v>667</v>
      </c>
      <c r="C526" s="2">
        <v>46170</v>
      </c>
      <c r="D526" s="3">
        <v>5775</v>
      </c>
      <c r="E526" s="2">
        <v>46170</v>
      </c>
      <c r="F526">
        <f t="shared" ca="1" si="16"/>
        <v>65</v>
      </c>
      <c r="G526" s="3">
        <f t="shared" si="17"/>
        <v>86975</v>
      </c>
    </row>
    <row r="527" spans="1:7">
      <c r="A527" t="s">
        <v>131</v>
      </c>
      <c r="B527" t="s">
        <v>668</v>
      </c>
      <c r="C527" s="2">
        <v>46177</v>
      </c>
      <c r="D527" s="3">
        <v>6836</v>
      </c>
      <c r="E527" s="2">
        <v>46177</v>
      </c>
      <c r="F527">
        <f t="shared" ca="1" si="16"/>
        <v>58</v>
      </c>
      <c r="G527" s="3">
        <f t="shared" si="17"/>
        <v>86975</v>
      </c>
    </row>
    <row r="528" spans="1:7">
      <c r="A528" t="s">
        <v>131</v>
      </c>
      <c r="B528" t="s">
        <v>669</v>
      </c>
      <c r="C528" s="2">
        <v>46183</v>
      </c>
      <c r="D528" s="3">
        <v>2100</v>
      </c>
      <c r="E528" s="2">
        <v>46183</v>
      </c>
      <c r="F528">
        <f t="shared" ca="1" si="16"/>
        <v>52</v>
      </c>
      <c r="G528" s="3">
        <f t="shared" si="17"/>
        <v>86975</v>
      </c>
    </row>
    <row r="529" spans="1:7">
      <c r="A529" t="s">
        <v>131</v>
      </c>
      <c r="B529" t="s">
        <v>670</v>
      </c>
      <c r="C529" s="2">
        <v>46188</v>
      </c>
      <c r="D529" s="3">
        <v>630</v>
      </c>
      <c r="E529" s="2">
        <v>46188</v>
      </c>
      <c r="F529">
        <f t="shared" ca="1" si="16"/>
        <v>47</v>
      </c>
      <c r="G529" s="3">
        <f t="shared" si="17"/>
        <v>86975</v>
      </c>
    </row>
    <row r="530" spans="1:7">
      <c r="A530" t="s">
        <v>131</v>
      </c>
      <c r="B530" t="s">
        <v>671</v>
      </c>
      <c r="C530" s="2">
        <v>46203</v>
      </c>
      <c r="D530" s="3">
        <v>3060</v>
      </c>
      <c r="E530" s="2">
        <v>46203</v>
      </c>
      <c r="F530">
        <f t="shared" ca="1" si="16"/>
        <v>32</v>
      </c>
      <c r="G530" s="3">
        <f t="shared" si="17"/>
        <v>86975</v>
      </c>
    </row>
    <row r="531" spans="1:7">
      <c r="A531" t="s">
        <v>131</v>
      </c>
      <c r="B531" t="s">
        <v>672</v>
      </c>
      <c r="C531" s="2">
        <v>46207</v>
      </c>
      <c r="D531" s="3">
        <v>1184</v>
      </c>
      <c r="E531" s="2">
        <v>46207</v>
      </c>
      <c r="F531">
        <f t="shared" ca="1" si="16"/>
        <v>28</v>
      </c>
      <c r="G531" s="3">
        <f t="shared" si="17"/>
        <v>86975</v>
      </c>
    </row>
    <row r="532" spans="1:7">
      <c r="A532" t="s">
        <v>131</v>
      </c>
      <c r="B532" t="s">
        <v>673</v>
      </c>
      <c r="C532" s="2">
        <v>46228</v>
      </c>
      <c r="D532" s="3">
        <v>1098</v>
      </c>
      <c r="E532" s="2">
        <v>46228</v>
      </c>
      <c r="F532">
        <f t="shared" ca="1" si="16"/>
        <v>7</v>
      </c>
      <c r="G532" s="3">
        <f t="shared" si="17"/>
        <v>86975</v>
      </c>
    </row>
    <row r="533" spans="1:7">
      <c r="A533" t="s">
        <v>131</v>
      </c>
      <c r="B533" t="s">
        <v>674</v>
      </c>
      <c r="C533" s="2">
        <v>46235</v>
      </c>
      <c r="D533" s="3">
        <v>246</v>
      </c>
      <c r="E533" s="2">
        <v>46235</v>
      </c>
      <c r="F533">
        <f t="shared" ca="1" si="16"/>
        <v>0</v>
      </c>
      <c r="G533" s="3">
        <f t="shared" si="17"/>
        <v>86975</v>
      </c>
    </row>
    <row r="534" spans="1:7">
      <c r="A534" t="s">
        <v>132</v>
      </c>
      <c r="B534" t="s">
        <v>675</v>
      </c>
      <c r="C534" s="2">
        <v>46179</v>
      </c>
      <c r="D534" s="3">
        <v>8038</v>
      </c>
      <c r="E534" s="2">
        <v>46179</v>
      </c>
      <c r="F534">
        <f t="shared" ca="1" si="16"/>
        <v>56</v>
      </c>
      <c r="G534" s="3">
        <f t="shared" si="17"/>
        <v>19560</v>
      </c>
    </row>
    <row r="535" spans="1:7">
      <c r="A535" t="s">
        <v>132</v>
      </c>
      <c r="B535" t="s">
        <v>676</v>
      </c>
      <c r="C535" s="2">
        <v>46186</v>
      </c>
      <c r="D535" s="3">
        <v>1444</v>
      </c>
      <c r="E535" s="2">
        <v>46186</v>
      </c>
      <c r="F535">
        <f t="shared" ca="1" si="16"/>
        <v>49</v>
      </c>
      <c r="G535" s="3">
        <f t="shared" si="17"/>
        <v>19560</v>
      </c>
    </row>
    <row r="536" spans="1:7">
      <c r="A536" t="s">
        <v>132</v>
      </c>
      <c r="B536" t="s">
        <v>677</v>
      </c>
      <c r="C536" s="2">
        <v>46207</v>
      </c>
      <c r="D536" s="3">
        <v>216</v>
      </c>
      <c r="E536" s="2">
        <v>46207</v>
      </c>
      <c r="F536">
        <f t="shared" ca="1" si="16"/>
        <v>28</v>
      </c>
      <c r="G536" s="3">
        <f t="shared" si="17"/>
        <v>19560</v>
      </c>
    </row>
    <row r="537" spans="1:7">
      <c r="A537" t="s">
        <v>132</v>
      </c>
      <c r="B537" t="s">
        <v>678</v>
      </c>
      <c r="C537" s="2">
        <v>46210</v>
      </c>
      <c r="D537" s="3">
        <v>2112</v>
      </c>
      <c r="E537" s="2">
        <v>46210</v>
      </c>
      <c r="F537">
        <f t="shared" ca="1" si="16"/>
        <v>25</v>
      </c>
      <c r="G537" s="3">
        <f t="shared" si="17"/>
        <v>19560</v>
      </c>
    </row>
    <row r="538" spans="1:7">
      <c r="A538" t="s">
        <v>132</v>
      </c>
      <c r="B538" t="s">
        <v>679</v>
      </c>
      <c r="C538" s="2">
        <v>46214</v>
      </c>
      <c r="D538" s="3">
        <v>7750</v>
      </c>
      <c r="E538" s="2">
        <v>46214</v>
      </c>
      <c r="F538">
        <f t="shared" ca="1" si="16"/>
        <v>21</v>
      </c>
      <c r="G538" s="3">
        <f t="shared" si="17"/>
        <v>19560</v>
      </c>
    </row>
    <row r="539" spans="1:7">
      <c r="A539" t="s">
        <v>133</v>
      </c>
      <c r="B539" t="s">
        <v>680</v>
      </c>
      <c r="C539" s="2">
        <v>46212</v>
      </c>
      <c r="D539" s="3">
        <v>1448</v>
      </c>
      <c r="E539" s="2">
        <v>46212</v>
      </c>
      <c r="F539">
        <f t="shared" ca="1" si="16"/>
        <v>23</v>
      </c>
      <c r="G539" s="3">
        <f t="shared" si="17"/>
        <v>1448</v>
      </c>
    </row>
    <row r="540" spans="1:7">
      <c r="A540" t="s">
        <v>134</v>
      </c>
      <c r="B540" t="s">
        <v>681</v>
      </c>
      <c r="C540" s="2">
        <v>45912</v>
      </c>
      <c r="D540" s="3">
        <v>5206</v>
      </c>
      <c r="E540" s="2">
        <v>45912</v>
      </c>
      <c r="F540">
        <f t="shared" ca="1" si="16"/>
        <v>323</v>
      </c>
      <c r="G540" s="3">
        <f t="shared" si="17"/>
        <v>70377</v>
      </c>
    </row>
    <row r="541" spans="1:7">
      <c r="A541" t="s">
        <v>134</v>
      </c>
      <c r="B541" t="s">
        <v>682</v>
      </c>
      <c r="C541" s="2">
        <v>45987</v>
      </c>
      <c r="D541" s="3">
        <v>6077</v>
      </c>
      <c r="E541" s="2">
        <v>45987</v>
      </c>
      <c r="F541">
        <f t="shared" ca="1" si="16"/>
        <v>248</v>
      </c>
      <c r="G541" s="3">
        <f t="shared" si="17"/>
        <v>70377</v>
      </c>
    </row>
    <row r="542" spans="1:7">
      <c r="A542" t="s">
        <v>134</v>
      </c>
      <c r="B542" t="s">
        <v>683</v>
      </c>
      <c r="C542" s="2">
        <v>46205</v>
      </c>
      <c r="D542" s="3">
        <v>6997</v>
      </c>
      <c r="E542" s="2">
        <v>46205</v>
      </c>
      <c r="F542">
        <f t="shared" ca="1" si="16"/>
        <v>30</v>
      </c>
      <c r="G542" s="3">
        <f t="shared" si="17"/>
        <v>70377</v>
      </c>
    </row>
    <row r="543" spans="1:7">
      <c r="A543" t="s">
        <v>134</v>
      </c>
      <c r="B543" t="s">
        <v>684</v>
      </c>
      <c r="C543" s="2">
        <v>46205</v>
      </c>
      <c r="D543" s="3">
        <v>1485</v>
      </c>
      <c r="E543" s="2">
        <v>46205</v>
      </c>
      <c r="F543">
        <f t="shared" ca="1" si="16"/>
        <v>30</v>
      </c>
      <c r="G543" s="3">
        <f t="shared" si="17"/>
        <v>70377</v>
      </c>
    </row>
    <row r="544" spans="1:7">
      <c r="A544" t="s">
        <v>134</v>
      </c>
      <c r="B544" t="s">
        <v>685</v>
      </c>
      <c r="C544" s="2">
        <v>46207</v>
      </c>
      <c r="D544" s="3">
        <v>3510</v>
      </c>
      <c r="E544" s="2">
        <v>46207</v>
      </c>
      <c r="F544">
        <f t="shared" ca="1" si="16"/>
        <v>28</v>
      </c>
      <c r="G544" s="3">
        <f t="shared" si="17"/>
        <v>70377</v>
      </c>
    </row>
    <row r="545" spans="1:7">
      <c r="A545" t="s">
        <v>134</v>
      </c>
      <c r="B545" t="s">
        <v>686</v>
      </c>
      <c r="C545" s="2">
        <v>46214</v>
      </c>
      <c r="D545" s="3">
        <v>12107</v>
      </c>
      <c r="E545" s="2">
        <v>46214</v>
      </c>
      <c r="F545">
        <f t="shared" ca="1" si="16"/>
        <v>21</v>
      </c>
      <c r="G545" s="3">
        <f t="shared" si="17"/>
        <v>70377</v>
      </c>
    </row>
    <row r="546" spans="1:7">
      <c r="A546" t="s">
        <v>134</v>
      </c>
      <c r="B546" t="s">
        <v>687</v>
      </c>
      <c r="C546" s="2">
        <v>46217</v>
      </c>
      <c r="D546" s="3">
        <v>16000</v>
      </c>
      <c r="E546" s="2">
        <v>46217</v>
      </c>
      <c r="F546">
        <f t="shared" ca="1" si="16"/>
        <v>18</v>
      </c>
      <c r="G546" s="3">
        <f t="shared" si="17"/>
        <v>70377</v>
      </c>
    </row>
    <row r="547" spans="1:7">
      <c r="A547" t="s">
        <v>134</v>
      </c>
      <c r="B547" t="s">
        <v>688</v>
      </c>
      <c r="C547" s="2">
        <v>46217</v>
      </c>
      <c r="D547" s="3">
        <v>4071</v>
      </c>
      <c r="E547" s="2">
        <v>46217</v>
      </c>
      <c r="F547">
        <f t="shared" ca="1" si="16"/>
        <v>18</v>
      </c>
      <c r="G547" s="3">
        <f t="shared" si="17"/>
        <v>70377</v>
      </c>
    </row>
    <row r="548" spans="1:7">
      <c r="A548" t="s">
        <v>134</v>
      </c>
      <c r="B548" t="s">
        <v>689</v>
      </c>
      <c r="C548" s="2">
        <v>46223</v>
      </c>
      <c r="D548" s="3">
        <v>1626</v>
      </c>
      <c r="E548" s="2">
        <v>46223</v>
      </c>
      <c r="F548">
        <f t="shared" ca="1" si="16"/>
        <v>12</v>
      </c>
      <c r="G548" s="3">
        <f t="shared" si="17"/>
        <v>70377</v>
      </c>
    </row>
    <row r="549" spans="1:7">
      <c r="A549" t="s">
        <v>134</v>
      </c>
      <c r="B549" t="s">
        <v>690</v>
      </c>
      <c r="C549" s="2">
        <v>46225</v>
      </c>
      <c r="D549" s="3">
        <v>5300</v>
      </c>
      <c r="E549" s="2">
        <v>46225</v>
      </c>
      <c r="F549">
        <f t="shared" ca="1" si="16"/>
        <v>10</v>
      </c>
      <c r="G549" s="3">
        <f t="shared" si="17"/>
        <v>70377</v>
      </c>
    </row>
    <row r="550" spans="1:7">
      <c r="A550" t="s">
        <v>134</v>
      </c>
      <c r="B550" t="s">
        <v>691</v>
      </c>
      <c r="C550" s="2">
        <v>46227</v>
      </c>
      <c r="D550" s="3">
        <v>1360</v>
      </c>
      <c r="E550" s="2">
        <v>46227</v>
      </c>
      <c r="F550">
        <f t="shared" ca="1" si="16"/>
        <v>8</v>
      </c>
      <c r="G550" s="3">
        <f t="shared" si="17"/>
        <v>70377</v>
      </c>
    </row>
    <row r="551" spans="1:7">
      <c r="A551" t="s">
        <v>134</v>
      </c>
      <c r="B551" t="s">
        <v>692</v>
      </c>
      <c r="C551" s="2">
        <v>46228</v>
      </c>
      <c r="D551" s="3">
        <v>1652</v>
      </c>
      <c r="E551" s="2">
        <v>46228</v>
      </c>
      <c r="F551">
        <f t="shared" ca="1" si="16"/>
        <v>7</v>
      </c>
      <c r="G551" s="3">
        <f t="shared" si="17"/>
        <v>70377</v>
      </c>
    </row>
    <row r="552" spans="1:7">
      <c r="A552" t="s">
        <v>134</v>
      </c>
      <c r="B552" t="s">
        <v>693</v>
      </c>
      <c r="C552" s="2">
        <v>46233</v>
      </c>
      <c r="D552" s="3">
        <v>1446</v>
      </c>
      <c r="E552" s="2">
        <v>46233</v>
      </c>
      <c r="F552">
        <f t="shared" ca="1" si="16"/>
        <v>2</v>
      </c>
      <c r="G552" s="3">
        <f t="shared" si="17"/>
        <v>70377</v>
      </c>
    </row>
    <row r="553" spans="1:7">
      <c r="A553" t="s">
        <v>134</v>
      </c>
      <c r="B553" t="s">
        <v>694</v>
      </c>
      <c r="C553" s="2">
        <v>46233</v>
      </c>
      <c r="D553" s="3">
        <v>2950</v>
      </c>
      <c r="E553" s="2">
        <v>46233</v>
      </c>
      <c r="F553">
        <f t="shared" ca="1" si="16"/>
        <v>2</v>
      </c>
      <c r="G553" s="3">
        <f t="shared" si="17"/>
        <v>70377</v>
      </c>
    </row>
    <row r="554" spans="1:7">
      <c r="A554" t="s">
        <v>134</v>
      </c>
      <c r="B554" t="s">
        <v>695</v>
      </c>
      <c r="C554" s="2">
        <v>46234</v>
      </c>
      <c r="D554" s="3">
        <v>590</v>
      </c>
      <c r="E554" s="2">
        <v>46234</v>
      </c>
      <c r="F554">
        <f t="shared" ca="1" si="16"/>
        <v>1</v>
      </c>
      <c r="G554" s="3">
        <f t="shared" si="17"/>
        <v>70377</v>
      </c>
    </row>
    <row r="555" spans="1:7">
      <c r="A555" t="s">
        <v>135</v>
      </c>
      <c r="B555" t="s">
        <v>696</v>
      </c>
      <c r="C555" s="2">
        <v>46017</v>
      </c>
      <c r="D555" s="3">
        <v>20589</v>
      </c>
      <c r="E555" s="2">
        <v>46017</v>
      </c>
      <c r="F555">
        <f t="shared" ca="1" si="16"/>
        <v>218</v>
      </c>
      <c r="G555" s="3">
        <f t="shared" si="17"/>
        <v>44439</v>
      </c>
    </row>
    <row r="556" spans="1:7">
      <c r="A556" t="s">
        <v>135</v>
      </c>
      <c r="B556" t="s">
        <v>697</v>
      </c>
      <c r="C556" s="2">
        <v>46181</v>
      </c>
      <c r="D556" s="3">
        <v>11111</v>
      </c>
      <c r="E556" s="2">
        <v>46181</v>
      </c>
      <c r="F556">
        <f t="shared" ca="1" si="16"/>
        <v>54</v>
      </c>
      <c r="G556" s="3">
        <f t="shared" si="17"/>
        <v>44439</v>
      </c>
    </row>
    <row r="557" spans="1:7">
      <c r="A557" t="s">
        <v>135</v>
      </c>
      <c r="B557" t="s">
        <v>698</v>
      </c>
      <c r="C557" s="2">
        <v>46183</v>
      </c>
      <c r="D557" s="3">
        <v>4130</v>
      </c>
      <c r="E557" s="2">
        <v>46183</v>
      </c>
      <c r="F557">
        <f t="shared" ca="1" si="16"/>
        <v>52</v>
      </c>
      <c r="G557" s="3">
        <f t="shared" si="17"/>
        <v>44439</v>
      </c>
    </row>
    <row r="558" spans="1:7">
      <c r="A558" t="s">
        <v>135</v>
      </c>
      <c r="B558" t="s">
        <v>699</v>
      </c>
      <c r="C558" s="2">
        <v>46217</v>
      </c>
      <c r="D558" s="3">
        <v>2709</v>
      </c>
      <c r="E558" s="2">
        <v>46217</v>
      </c>
      <c r="F558">
        <f t="shared" ca="1" si="16"/>
        <v>18</v>
      </c>
      <c r="G558" s="3">
        <f t="shared" si="17"/>
        <v>44439</v>
      </c>
    </row>
    <row r="559" spans="1:7">
      <c r="A559" t="s">
        <v>135</v>
      </c>
      <c r="B559" t="s">
        <v>700</v>
      </c>
      <c r="C559" s="2">
        <v>46227</v>
      </c>
      <c r="D559" s="3">
        <v>5900</v>
      </c>
      <c r="E559" s="2">
        <v>46227</v>
      </c>
      <c r="F559">
        <f t="shared" ca="1" si="16"/>
        <v>8</v>
      </c>
      <c r="G559" s="3">
        <f t="shared" si="17"/>
        <v>44439</v>
      </c>
    </row>
    <row r="560" spans="1:7">
      <c r="A560" t="s">
        <v>136</v>
      </c>
      <c r="B560" t="s">
        <v>701</v>
      </c>
      <c r="C560" s="2">
        <v>46232</v>
      </c>
      <c r="D560" s="3">
        <v>154601</v>
      </c>
      <c r="E560" s="2">
        <v>46232</v>
      </c>
      <c r="F560">
        <f t="shared" ca="1" si="16"/>
        <v>3</v>
      </c>
      <c r="G560" s="3">
        <f t="shared" si="17"/>
        <v>208518</v>
      </c>
    </row>
    <row r="561" spans="1:7">
      <c r="A561" t="s">
        <v>136</v>
      </c>
      <c r="B561" t="s">
        <v>702</v>
      </c>
      <c r="C561" s="2">
        <v>46233</v>
      </c>
      <c r="D561" s="3">
        <v>53917</v>
      </c>
      <c r="E561" s="2">
        <v>46233</v>
      </c>
      <c r="F561">
        <f t="shared" ca="1" si="16"/>
        <v>2</v>
      </c>
      <c r="G561" s="3">
        <f t="shared" si="17"/>
        <v>208518</v>
      </c>
    </row>
    <row r="562" spans="1:7">
      <c r="A562" t="s">
        <v>137</v>
      </c>
      <c r="B562" t="s">
        <v>703</v>
      </c>
      <c r="C562" s="2">
        <v>46217</v>
      </c>
      <c r="D562" s="3">
        <v>13230</v>
      </c>
      <c r="E562" s="2">
        <v>46217</v>
      </c>
      <c r="F562">
        <f t="shared" ca="1" si="16"/>
        <v>18</v>
      </c>
      <c r="G562" s="3">
        <f t="shared" si="17"/>
        <v>13872</v>
      </c>
    </row>
    <row r="563" spans="1:7">
      <c r="A563" t="s">
        <v>137</v>
      </c>
      <c r="B563" t="s">
        <v>704</v>
      </c>
      <c r="C563" s="2">
        <v>46235</v>
      </c>
      <c r="D563" s="3">
        <v>642</v>
      </c>
      <c r="E563" s="2">
        <v>46235</v>
      </c>
      <c r="F563">
        <f t="shared" ca="1" si="16"/>
        <v>0</v>
      </c>
      <c r="G563" s="3">
        <f t="shared" si="17"/>
        <v>13872</v>
      </c>
    </row>
  </sheetData>
  <mergeCells count="2">
    <mergeCell ref="A1:G1"/>
    <mergeCell ref="A2:G2"/>
  </mergeCells>
  <conditionalFormatting sqref="F5:F563">
    <cfRule type="colorScale" priority="1">
      <colorScale>
        <cfvo type="min"/>
        <cfvo type="percentile" val="50"/>
        <cfvo type="max"/>
        <color rgb="FFE2F0D9"/>
        <color rgb="FFFFE699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showGridLines="0" workbookViewId="0">
      <selection sqref="A1:E1"/>
    </sheetView>
  </sheetViews>
  <sheetFormatPr defaultRowHeight="13.8"/>
  <cols>
    <col min="1" max="1" width="42" customWidth="1"/>
    <col min="2" max="2" width="12" customWidth="1"/>
    <col min="3" max="3" width="20" customWidth="1"/>
    <col min="4" max="5" width="18" customWidth="1"/>
  </cols>
  <sheetData>
    <row r="1" spans="1:5" ht="34.049999999999997" customHeight="1">
      <c r="A1" s="18" t="s">
        <v>0</v>
      </c>
      <c r="B1" s="18"/>
      <c r="C1" s="18"/>
      <c r="D1" s="18"/>
      <c r="E1" s="18"/>
    </row>
    <row r="2" spans="1:5">
      <c r="A2" s="1" t="s">
        <v>1</v>
      </c>
      <c r="B2" s="1"/>
      <c r="C2" s="1" t="s">
        <v>2</v>
      </c>
      <c r="D2" s="1"/>
      <c r="E2" s="1" t="s">
        <v>3</v>
      </c>
    </row>
    <row r="3" spans="1:5">
      <c r="A3" s="2">
        <f ca="1">TODAY()</f>
        <v>46235</v>
      </c>
      <c r="C3" s="3">
        <f>SUM('Bill Details'!$D$5:$D$563)</f>
        <v>4114814</v>
      </c>
      <c r="E3">
        <f>COUNTA('Bill Details'!$B$5:$B$563)</f>
        <v>559</v>
      </c>
    </row>
    <row r="5" spans="1:5" ht="27.6">
      <c r="A5" s="4" t="s">
        <v>4</v>
      </c>
      <c r="B5" s="5" t="s">
        <v>5</v>
      </c>
      <c r="C5" s="5" t="s">
        <v>6</v>
      </c>
      <c r="D5" s="5" t="s">
        <v>7</v>
      </c>
      <c r="E5" s="6" t="s">
        <v>8</v>
      </c>
    </row>
    <row r="6" spans="1:5">
      <c r="A6" s="7" t="s">
        <v>9</v>
      </c>
      <c r="B6" s="7">
        <f>COUNTIF('Bill Details'!$A$5:$A$563,A6)</f>
        <v>6</v>
      </c>
      <c r="C6" s="10">
        <f>SUMIF('Bill Details'!$A$5:$A$563,A6,'Bill Details'!$D$5:$D$563)</f>
        <v>195809</v>
      </c>
      <c r="D6" s="13" t="e">
        <f ca="1">_xludf.MINIFS('Bill Details'!$E$5:$E$563,'Bill Details'!$A$5:$A$563,A6)</f>
        <v>#NAME?</v>
      </c>
      <c r="E6" s="7" t="e">
        <f ca="1">_xludf.MAXIFS('Bill Details'!$F$5:$F$563,'Bill Details'!$A$5:$A$563,A6)</f>
        <v>#NAME?</v>
      </c>
    </row>
    <row r="7" spans="1:5">
      <c r="A7" s="8" t="s">
        <v>10</v>
      </c>
      <c r="B7" s="8">
        <f>COUNTIF('Bill Details'!$A$5:$A$563,A7)</f>
        <v>1</v>
      </c>
      <c r="C7" s="11">
        <f>SUMIF('Bill Details'!$A$5:$A$563,A7,'Bill Details'!$D$5:$D$563)</f>
        <v>338</v>
      </c>
      <c r="D7" s="14" t="e">
        <f ca="1">_xludf.MINIFS('Bill Details'!$E$5:$E$563,'Bill Details'!$A$5:$A$563,A7)</f>
        <v>#NAME?</v>
      </c>
      <c r="E7" s="8" t="e">
        <f ca="1">_xludf.MAXIFS('Bill Details'!$F$5:$F$563,'Bill Details'!$A$5:$A$563,A7)</f>
        <v>#NAME?</v>
      </c>
    </row>
    <row r="8" spans="1:5">
      <c r="A8" s="8" t="s">
        <v>11</v>
      </c>
      <c r="B8" s="8">
        <f>COUNTIF('Bill Details'!$A$5:$A$563,A8)</f>
        <v>1</v>
      </c>
      <c r="C8" s="11">
        <f>SUMIF('Bill Details'!$A$5:$A$563,A8,'Bill Details'!$D$5:$D$563)</f>
        <v>2592</v>
      </c>
      <c r="D8" s="14" t="e">
        <f ca="1">_xludf.MINIFS('Bill Details'!$E$5:$E$563,'Bill Details'!$A$5:$A$563,A8)</f>
        <v>#NAME?</v>
      </c>
      <c r="E8" s="8" t="e">
        <f ca="1">_xludf.MAXIFS('Bill Details'!$F$5:$F$563,'Bill Details'!$A$5:$A$563,A8)</f>
        <v>#NAME?</v>
      </c>
    </row>
    <row r="9" spans="1:5">
      <c r="A9" s="8" t="s">
        <v>12</v>
      </c>
      <c r="B9" s="8">
        <f>COUNTIF('Bill Details'!$A$5:$A$563,A9)</f>
        <v>5</v>
      </c>
      <c r="C9" s="11">
        <f>SUMIF('Bill Details'!$A$5:$A$563,A9,'Bill Details'!$D$5:$D$563)</f>
        <v>26244</v>
      </c>
      <c r="D9" s="14" t="e">
        <f ca="1">_xludf.MINIFS('Bill Details'!$E$5:$E$563,'Bill Details'!$A$5:$A$563,A9)</f>
        <v>#NAME?</v>
      </c>
      <c r="E9" s="8" t="e">
        <f ca="1">_xludf.MAXIFS('Bill Details'!$F$5:$F$563,'Bill Details'!$A$5:$A$563,A9)</f>
        <v>#NAME?</v>
      </c>
    </row>
    <row r="10" spans="1:5">
      <c r="A10" s="8" t="s">
        <v>13</v>
      </c>
      <c r="B10" s="8">
        <f>COUNTIF('Bill Details'!$A$5:$A$563,A10)</f>
        <v>1</v>
      </c>
      <c r="C10" s="11">
        <f>SUMIF('Bill Details'!$A$5:$A$563,A10,'Bill Details'!$D$5:$D$563)</f>
        <v>1770</v>
      </c>
      <c r="D10" s="14" t="e">
        <f ca="1">_xludf.MINIFS('Bill Details'!$E$5:$E$563,'Bill Details'!$A$5:$A$563,A10)</f>
        <v>#NAME?</v>
      </c>
      <c r="E10" s="8" t="e">
        <f ca="1">_xludf.MAXIFS('Bill Details'!$F$5:$F$563,'Bill Details'!$A$5:$A$563,A10)</f>
        <v>#NAME?</v>
      </c>
    </row>
    <row r="11" spans="1:5">
      <c r="A11" s="8" t="s">
        <v>14</v>
      </c>
      <c r="B11" s="8">
        <f>COUNTIF('Bill Details'!$A$5:$A$563,A11)</f>
        <v>1</v>
      </c>
      <c r="C11" s="11">
        <f>SUMIF('Bill Details'!$A$5:$A$563,A11,'Bill Details'!$D$5:$D$563)</f>
        <v>4800</v>
      </c>
      <c r="D11" s="14" t="e">
        <f ca="1">_xludf.MINIFS('Bill Details'!$E$5:$E$563,'Bill Details'!$A$5:$A$563,A11)</f>
        <v>#NAME?</v>
      </c>
      <c r="E11" s="8" t="e">
        <f ca="1">_xludf.MAXIFS('Bill Details'!$F$5:$F$563,'Bill Details'!$A$5:$A$563,A11)</f>
        <v>#NAME?</v>
      </c>
    </row>
    <row r="12" spans="1:5">
      <c r="A12" s="8" t="s">
        <v>15</v>
      </c>
      <c r="B12" s="8">
        <f>COUNTIF('Bill Details'!$A$5:$A$563,A12)</f>
        <v>11</v>
      </c>
      <c r="C12" s="11">
        <f>SUMIF('Bill Details'!$A$5:$A$563,A12,'Bill Details'!$D$5:$D$563)</f>
        <v>119404</v>
      </c>
      <c r="D12" s="14" t="e">
        <f ca="1">_xludf.MINIFS('Bill Details'!$E$5:$E$563,'Bill Details'!$A$5:$A$563,A12)</f>
        <v>#NAME?</v>
      </c>
      <c r="E12" s="8" t="e">
        <f ca="1">_xludf.MAXIFS('Bill Details'!$F$5:$F$563,'Bill Details'!$A$5:$A$563,A12)</f>
        <v>#NAME?</v>
      </c>
    </row>
    <row r="13" spans="1:5">
      <c r="A13" s="8" t="s">
        <v>16</v>
      </c>
      <c r="B13" s="8">
        <f>COUNTIF('Bill Details'!$A$5:$A$563,A13)</f>
        <v>3</v>
      </c>
      <c r="C13" s="11">
        <f>SUMIF('Bill Details'!$A$5:$A$563,A13,'Bill Details'!$D$5:$D$563)</f>
        <v>7965</v>
      </c>
      <c r="D13" s="14" t="e">
        <f ca="1">_xludf.MINIFS('Bill Details'!$E$5:$E$563,'Bill Details'!$A$5:$A$563,A13)</f>
        <v>#NAME?</v>
      </c>
      <c r="E13" s="8" t="e">
        <f ca="1">_xludf.MAXIFS('Bill Details'!$F$5:$F$563,'Bill Details'!$A$5:$A$563,A13)</f>
        <v>#NAME?</v>
      </c>
    </row>
    <row r="14" spans="1:5">
      <c r="A14" s="8" t="s">
        <v>17</v>
      </c>
      <c r="B14" s="8">
        <f>COUNTIF('Bill Details'!$A$5:$A$563,A14)</f>
        <v>2</v>
      </c>
      <c r="C14" s="11">
        <f>SUMIF('Bill Details'!$A$5:$A$563,A14,'Bill Details'!$D$5:$D$563)</f>
        <v>17788</v>
      </c>
      <c r="D14" s="14" t="e">
        <f ca="1">_xludf.MINIFS('Bill Details'!$E$5:$E$563,'Bill Details'!$A$5:$A$563,A14)</f>
        <v>#NAME?</v>
      </c>
      <c r="E14" s="8" t="e">
        <f ca="1">_xludf.MAXIFS('Bill Details'!$F$5:$F$563,'Bill Details'!$A$5:$A$563,A14)</f>
        <v>#NAME?</v>
      </c>
    </row>
    <row r="15" spans="1:5">
      <c r="A15" s="8" t="s">
        <v>18</v>
      </c>
      <c r="B15" s="8">
        <f>COUNTIF('Bill Details'!$A$5:$A$563,A15)</f>
        <v>4</v>
      </c>
      <c r="C15" s="11">
        <f>SUMIF('Bill Details'!$A$5:$A$563,A15,'Bill Details'!$D$5:$D$563)</f>
        <v>12267</v>
      </c>
      <c r="D15" s="14" t="e">
        <f ca="1">_xludf.MINIFS('Bill Details'!$E$5:$E$563,'Bill Details'!$A$5:$A$563,A15)</f>
        <v>#NAME?</v>
      </c>
      <c r="E15" s="8" t="e">
        <f ca="1">_xludf.MAXIFS('Bill Details'!$F$5:$F$563,'Bill Details'!$A$5:$A$563,A15)</f>
        <v>#NAME?</v>
      </c>
    </row>
    <row r="16" spans="1:5">
      <c r="A16" s="8" t="s">
        <v>19</v>
      </c>
      <c r="B16" s="8">
        <f>COUNTIF('Bill Details'!$A$5:$A$563,A16)</f>
        <v>3</v>
      </c>
      <c r="C16" s="11">
        <f>SUMIF('Bill Details'!$A$5:$A$563,A16,'Bill Details'!$D$5:$D$563)</f>
        <v>51533</v>
      </c>
      <c r="D16" s="14" t="e">
        <f ca="1">_xludf.MINIFS('Bill Details'!$E$5:$E$563,'Bill Details'!$A$5:$A$563,A16)</f>
        <v>#NAME?</v>
      </c>
      <c r="E16" s="8" t="e">
        <f ca="1">_xludf.MAXIFS('Bill Details'!$F$5:$F$563,'Bill Details'!$A$5:$A$563,A16)</f>
        <v>#NAME?</v>
      </c>
    </row>
    <row r="17" spans="1:5">
      <c r="A17" s="8" t="s">
        <v>20</v>
      </c>
      <c r="B17" s="8">
        <f>COUNTIF('Bill Details'!$A$5:$A$563,A17)</f>
        <v>7</v>
      </c>
      <c r="C17" s="11">
        <f>SUMIF('Bill Details'!$A$5:$A$563,A17,'Bill Details'!$D$5:$D$563)</f>
        <v>10155</v>
      </c>
      <c r="D17" s="14" t="e">
        <f ca="1">_xludf.MINIFS('Bill Details'!$E$5:$E$563,'Bill Details'!$A$5:$A$563,A17)</f>
        <v>#NAME?</v>
      </c>
      <c r="E17" s="8" t="e">
        <f ca="1">_xludf.MAXIFS('Bill Details'!$F$5:$F$563,'Bill Details'!$A$5:$A$563,A17)</f>
        <v>#NAME?</v>
      </c>
    </row>
    <row r="18" spans="1:5">
      <c r="A18" s="8" t="s">
        <v>21</v>
      </c>
      <c r="B18" s="8">
        <f>COUNTIF('Bill Details'!$A$5:$A$563,A18)</f>
        <v>8</v>
      </c>
      <c r="C18" s="11">
        <f>SUMIF('Bill Details'!$A$5:$A$563,A18,'Bill Details'!$D$5:$D$563)</f>
        <v>52708</v>
      </c>
      <c r="D18" s="14" t="e">
        <f ca="1">_xludf.MINIFS('Bill Details'!$E$5:$E$563,'Bill Details'!$A$5:$A$563,A18)</f>
        <v>#NAME?</v>
      </c>
      <c r="E18" s="8" t="e">
        <f ca="1">_xludf.MAXIFS('Bill Details'!$F$5:$F$563,'Bill Details'!$A$5:$A$563,A18)</f>
        <v>#NAME?</v>
      </c>
    </row>
    <row r="19" spans="1:5">
      <c r="A19" s="8" t="s">
        <v>22</v>
      </c>
      <c r="B19" s="8">
        <f>COUNTIF('Bill Details'!$A$5:$A$563,A19)</f>
        <v>3</v>
      </c>
      <c r="C19" s="11">
        <f>SUMIF('Bill Details'!$A$5:$A$563,A19,'Bill Details'!$D$5:$D$563)</f>
        <v>706</v>
      </c>
      <c r="D19" s="14" t="e">
        <f ca="1">_xludf.MINIFS('Bill Details'!$E$5:$E$563,'Bill Details'!$A$5:$A$563,A19)</f>
        <v>#NAME?</v>
      </c>
      <c r="E19" s="8" t="e">
        <f ca="1">_xludf.MAXIFS('Bill Details'!$F$5:$F$563,'Bill Details'!$A$5:$A$563,A19)</f>
        <v>#NAME?</v>
      </c>
    </row>
    <row r="20" spans="1:5">
      <c r="A20" s="8" t="s">
        <v>23</v>
      </c>
      <c r="B20" s="8">
        <f>COUNTIF('Bill Details'!$A$5:$A$563,A20)</f>
        <v>1</v>
      </c>
      <c r="C20" s="11">
        <f>SUMIF('Bill Details'!$A$5:$A$563,A20,'Bill Details'!$D$5:$D$563)</f>
        <v>1238</v>
      </c>
      <c r="D20" s="14" t="e">
        <f ca="1">_xludf.MINIFS('Bill Details'!$E$5:$E$563,'Bill Details'!$A$5:$A$563,A20)</f>
        <v>#NAME?</v>
      </c>
      <c r="E20" s="8" t="e">
        <f ca="1">_xludf.MAXIFS('Bill Details'!$F$5:$F$563,'Bill Details'!$A$5:$A$563,A20)</f>
        <v>#NAME?</v>
      </c>
    </row>
    <row r="21" spans="1:5">
      <c r="A21" s="8" t="s">
        <v>24</v>
      </c>
      <c r="B21" s="8">
        <f>COUNTIF('Bill Details'!$A$5:$A$563,A21)</f>
        <v>7</v>
      </c>
      <c r="C21" s="11">
        <f>SUMIF('Bill Details'!$A$5:$A$563,A21,'Bill Details'!$D$5:$D$563)</f>
        <v>41253</v>
      </c>
      <c r="D21" s="14" t="e">
        <f ca="1">_xludf.MINIFS('Bill Details'!$E$5:$E$563,'Bill Details'!$A$5:$A$563,A21)</f>
        <v>#NAME?</v>
      </c>
      <c r="E21" s="8" t="e">
        <f ca="1">_xludf.MAXIFS('Bill Details'!$F$5:$F$563,'Bill Details'!$A$5:$A$563,A21)</f>
        <v>#NAME?</v>
      </c>
    </row>
    <row r="22" spans="1:5">
      <c r="A22" s="8" t="s">
        <v>25</v>
      </c>
      <c r="B22" s="8">
        <f>COUNTIF('Bill Details'!$A$5:$A$563,A22)</f>
        <v>15</v>
      </c>
      <c r="C22" s="11">
        <f>SUMIF('Bill Details'!$A$5:$A$563,A22,'Bill Details'!$D$5:$D$563)</f>
        <v>92608</v>
      </c>
      <c r="D22" s="14" t="e">
        <f ca="1">_xludf.MINIFS('Bill Details'!$E$5:$E$563,'Bill Details'!$A$5:$A$563,A22)</f>
        <v>#NAME?</v>
      </c>
      <c r="E22" s="8" t="e">
        <f ca="1">_xludf.MAXIFS('Bill Details'!$F$5:$F$563,'Bill Details'!$A$5:$A$563,A22)</f>
        <v>#NAME?</v>
      </c>
    </row>
    <row r="23" spans="1:5">
      <c r="A23" s="8" t="s">
        <v>26</v>
      </c>
      <c r="B23" s="8">
        <f>COUNTIF('Bill Details'!$A$5:$A$563,A23)</f>
        <v>13</v>
      </c>
      <c r="C23" s="11">
        <f>SUMIF('Bill Details'!$A$5:$A$563,A23,'Bill Details'!$D$5:$D$563)</f>
        <v>23286</v>
      </c>
      <c r="D23" s="14" t="e">
        <f ca="1">_xludf.MINIFS('Bill Details'!$E$5:$E$563,'Bill Details'!$A$5:$A$563,A23)</f>
        <v>#NAME?</v>
      </c>
      <c r="E23" s="8" t="e">
        <f ca="1">_xludf.MAXIFS('Bill Details'!$F$5:$F$563,'Bill Details'!$A$5:$A$563,A23)</f>
        <v>#NAME?</v>
      </c>
    </row>
    <row r="24" spans="1:5">
      <c r="A24" s="8" t="s">
        <v>27</v>
      </c>
      <c r="B24" s="8">
        <f>COUNTIF('Bill Details'!$A$5:$A$563,A24)</f>
        <v>10</v>
      </c>
      <c r="C24" s="11">
        <f>SUMIF('Bill Details'!$A$5:$A$563,A24,'Bill Details'!$D$5:$D$563)</f>
        <v>66140</v>
      </c>
      <c r="D24" s="14" t="e">
        <f ca="1">_xludf.MINIFS('Bill Details'!$E$5:$E$563,'Bill Details'!$A$5:$A$563,A24)</f>
        <v>#NAME?</v>
      </c>
      <c r="E24" s="8" t="e">
        <f ca="1">_xludf.MAXIFS('Bill Details'!$F$5:$F$563,'Bill Details'!$A$5:$A$563,A24)</f>
        <v>#NAME?</v>
      </c>
    </row>
    <row r="25" spans="1:5">
      <c r="A25" s="8" t="s">
        <v>28</v>
      </c>
      <c r="B25" s="8">
        <f>COUNTIF('Bill Details'!$A$5:$A$563,A25)</f>
        <v>1</v>
      </c>
      <c r="C25" s="11">
        <f>SUMIF('Bill Details'!$A$5:$A$563,A25,'Bill Details'!$D$5:$D$563)</f>
        <v>1711</v>
      </c>
      <c r="D25" s="14" t="e">
        <f ca="1">_xludf.MINIFS('Bill Details'!$E$5:$E$563,'Bill Details'!$A$5:$A$563,A25)</f>
        <v>#NAME?</v>
      </c>
      <c r="E25" s="8" t="e">
        <f ca="1">_xludf.MAXIFS('Bill Details'!$F$5:$F$563,'Bill Details'!$A$5:$A$563,A25)</f>
        <v>#NAME?</v>
      </c>
    </row>
    <row r="26" spans="1:5">
      <c r="A26" s="8" t="s">
        <v>29</v>
      </c>
      <c r="B26" s="8">
        <f>COUNTIF('Bill Details'!$A$5:$A$563,A26)</f>
        <v>5</v>
      </c>
      <c r="C26" s="11">
        <f>SUMIF('Bill Details'!$A$5:$A$563,A26,'Bill Details'!$D$5:$D$563)</f>
        <v>6000</v>
      </c>
      <c r="D26" s="14" t="e">
        <f ca="1">_xludf.MINIFS('Bill Details'!$E$5:$E$563,'Bill Details'!$A$5:$A$563,A26)</f>
        <v>#NAME?</v>
      </c>
      <c r="E26" s="8" t="e">
        <f ca="1">_xludf.MAXIFS('Bill Details'!$F$5:$F$563,'Bill Details'!$A$5:$A$563,A26)</f>
        <v>#NAME?</v>
      </c>
    </row>
    <row r="27" spans="1:5">
      <c r="A27" s="8" t="s">
        <v>30</v>
      </c>
      <c r="B27" s="8">
        <f>COUNTIF('Bill Details'!$A$5:$A$563,A27)</f>
        <v>27</v>
      </c>
      <c r="C27" s="11">
        <f>SUMIF('Bill Details'!$A$5:$A$563,A27,'Bill Details'!$D$5:$D$563)</f>
        <v>238111</v>
      </c>
      <c r="D27" s="14" t="e">
        <f ca="1">_xludf.MINIFS('Bill Details'!$E$5:$E$563,'Bill Details'!$A$5:$A$563,A27)</f>
        <v>#NAME?</v>
      </c>
      <c r="E27" s="8" t="e">
        <f ca="1">_xludf.MAXIFS('Bill Details'!$F$5:$F$563,'Bill Details'!$A$5:$A$563,A27)</f>
        <v>#NAME?</v>
      </c>
    </row>
    <row r="28" spans="1:5">
      <c r="A28" s="8" t="s">
        <v>31</v>
      </c>
      <c r="B28" s="8">
        <f>COUNTIF('Bill Details'!$A$5:$A$563,A28)</f>
        <v>1</v>
      </c>
      <c r="C28" s="11">
        <f>SUMIF('Bill Details'!$A$5:$A$563,A28,'Bill Details'!$D$5:$D$563)</f>
        <v>899</v>
      </c>
      <c r="D28" s="14" t="e">
        <f ca="1">_xludf.MINIFS('Bill Details'!$E$5:$E$563,'Bill Details'!$A$5:$A$563,A28)</f>
        <v>#NAME?</v>
      </c>
      <c r="E28" s="8" t="e">
        <f ca="1">_xludf.MAXIFS('Bill Details'!$F$5:$F$563,'Bill Details'!$A$5:$A$563,A28)</f>
        <v>#NAME?</v>
      </c>
    </row>
    <row r="29" spans="1:5">
      <c r="A29" s="8" t="s">
        <v>32</v>
      </c>
      <c r="B29" s="8">
        <f>COUNTIF('Bill Details'!$A$5:$A$563,A29)</f>
        <v>3</v>
      </c>
      <c r="C29" s="11">
        <f>SUMIF('Bill Details'!$A$5:$A$563,A29,'Bill Details'!$D$5:$D$563)</f>
        <v>2464</v>
      </c>
      <c r="D29" s="14" t="e">
        <f ca="1">_xludf.MINIFS('Bill Details'!$E$5:$E$563,'Bill Details'!$A$5:$A$563,A29)</f>
        <v>#NAME?</v>
      </c>
      <c r="E29" s="8" t="e">
        <f ca="1">_xludf.MAXIFS('Bill Details'!$F$5:$F$563,'Bill Details'!$A$5:$A$563,A29)</f>
        <v>#NAME?</v>
      </c>
    </row>
    <row r="30" spans="1:5">
      <c r="A30" s="8" t="s">
        <v>33</v>
      </c>
      <c r="B30" s="8">
        <f>COUNTIF('Bill Details'!$A$5:$A$563,A30)</f>
        <v>5</v>
      </c>
      <c r="C30" s="11">
        <f>SUMIF('Bill Details'!$A$5:$A$563,A30,'Bill Details'!$D$5:$D$563)</f>
        <v>7349</v>
      </c>
      <c r="D30" s="14" t="e">
        <f ca="1">_xludf.MINIFS('Bill Details'!$E$5:$E$563,'Bill Details'!$A$5:$A$563,A30)</f>
        <v>#NAME?</v>
      </c>
      <c r="E30" s="8" t="e">
        <f ca="1">_xludf.MAXIFS('Bill Details'!$F$5:$F$563,'Bill Details'!$A$5:$A$563,A30)</f>
        <v>#NAME?</v>
      </c>
    </row>
    <row r="31" spans="1:5">
      <c r="A31" s="8" t="s">
        <v>34</v>
      </c>
      <c r="B31" s="8">
        <f>COUNTIF('Bill Details'!$A$5:$A$563,A31)</f>
        <v>1</v>
      </c>
      <c r="C31" s="11">
        <f>SUMIF('Bill Details'!$A$5:$A$563,A31,'Bill Details'!$D$5:$D$563)</f>
        <v>3717</v>
      </c>
      <c r="D31" s="14" t="e">
        <f ca="1">_xludf.MINIFS('Bill Details'!$E$5:$E$563,'Bill Details'!$A$5:$A$563,A31)</f>
        <v>#NAME?</v>
      </c>
      <c r="E31" s="8" t="e">
        <f ca="1">_xludf.MAXIFS('Bill Details'!$F$5:$F$563,'Bill Details'!$A$5:$A$563,A31)</f>
        <v>#NAME?</v>
      </c>
    </row>
    <row r="32" spans="1:5">
      <c r="A32" s="8" t="s">
        <v>35</v>
      </c>
      <c r="B32" s="8">
        <f>COUNTIF('Bill Details'!$A$5:$A$563,A32)</f>
        <v>2</v>
      </c>
      <c r="C32" s="11">
        <f>SUMIF('Bill Details'!$A$5:$A$563,A32,'Bill Details'!$D$5:$D$563)</f>
        <v>8298</v>
      </c>
      <c r="D32" s="14" t="e">
        <f ca="1">_xludf.MINIFS('Bill Details'!$E$5:$E$563,'Bill Details'!$A$5:$A$563,A32)</f>
        <v>#NAME?</v>
      </c>
      <c r="E32" s="8" t="e">
        <f ca="1">_xludf.MAXIFS('Bill Details'!$F$5:$F$563,'Bill Details'!$A$5:$A$563,A32)</f>
        <v>#NAME?</v>
      </c>
    </row>
    <row r="33" spans="1:5">
      <c r="A33" s="8" t="s">
        <v>36</v>
      </c>
      <c r="B33" s="8">
        <f>COUNTIF('Bill Details'!$A$5:$A$563,A33)</f>
        <v>2</v>
      </c>
      <c r="C33" s="11">
        <f>SUMIF('Bill Details'!$A$5:$A$563,A33,'Bill Details'!$D$5:$D$563)</f>
        <v>17096</v>
      </c>
      <c r="D33" s="14" t="e">
        <f ca="1">_xludf.MINIFS('Bill Details'!$E$5:$E$563,'Bill Details'!$A$5:$A$563,A33)</f>
        <v>#NAME?</v>
      </c>
      <c r="E33" s="8" t="e">
        <f ca="1">_xludf.MAXIFS('Bill Details'!$F$5:$F$563,'Bill Details'!$A$5:$A$563,A33)</f>
        <v>#NAME?</v>
      </c>
    </row>
    <row r="34" spans="1:5">
      <c r="A34" s="8" t="s">
        <v>37</v>
      </c>
      <c r="B34" s="8">
        <f>COUNTIF('Bill Details'!$A$5:$A$563,A34)</f>
        <v>1</v>
      </c>
      <c r="C34" s="11">
        <f>SUMIF('Bill Details'!$A$5:$A$563,A34,'Bill Details'!$D$5:$D$563)</f>
        <v>1175</v>
      </c>
      <c r="D34" s="14" t="e">
        <f ca="1">_xludf.MINIFS('Bill Details'!$E$5:$E$563,'Bill Details'!$A$5:$A$563,A34)</f>
        <v>#NAME?</v>
      </c>
      <c r="E34" s="8" t="e">
        <f ca="1">_xludf.MAXIFS('Bill Details'!$F$5:$F$563,'Bill Details'!$A$5:$A$563,A34)</f>
        <v>#NAME?</v>
      </c>
    </row>
    <row r="35" spans="1:5">
      <c r="A35" s="8" t="s">
        <v>38</v>
      </c>
      <c r="B35" s="8">
        <f>COUNTIF('Bill Details'!$A$5:$A$563,A35)</f>
        <v>1</v>
      </c>
      <c r="C35" s="11">
        <f>SUMIF('Bill Details'!$A$5:$A$563,A35,'Bill Details'!$D$5:$D$563)</f>
        <v>55394</v>
      </c>
      <c r="D35" s="14" t="e">
        <f ca="1">_xludf.MINIFS('Bill Details'!$E$5:$E$563,'Bill Details'!$A$5:$A$563,A35)</f>
        <v>#NAME?</v>
      </c>
      <c r="E35" s="8" t="e">
        <f ca="1">_xludf.MAXIFS('Bill Details'!$F$5:$F$563,'Bill Details'!$A$5:$A$563,A35)</f>
        <v>#NAME?</v>
      </c>
    </row>
    <row r="36" spans="1:5">
      <c r="A36" s="8" t="s">
        <v>39</v>
      </c>
      <c r="B36" s="8">
        <f>COUNTIF('Bill Details'!$A$5:$A$563,A36)</f>
        <v>17</v>
      </c>
      <c r="C36" s="11">
        <f>SUMIF('Bill Details'!$A$5:$A$563,A36,'Bill Details'!$D$5:$D$563)</f>
        <v>53111</v>
      </c>
      <c r="D36" s="14" t="e">
        <f ca="1">_xludf.MINIFS('Bill Details'!$E$5:$E$563,'Bill Details'!$A$5:$A$563,A36)</f>
        <v>#NAME?</v>
      </c>
      <c r="E36" s="8" t="e">
        <f ca="1">_xludf.MAXIFS('Bill Details'!$F$5:$F$563,'Bill Details'!$A$5:$A$563,A36)</f>
        <v>#NAME?</v>
      </c>
    </row>
    <row r="37" spans="1:5">
      <c r="A37" s="8" t="s">
        <v>40</v>
      </c>
      <c r="B37" s="8">
        <f>COUNTIF('Bill Details'!$A$5:$A$563,A37)</f>
        <v>8</v>
      </c>
      <c r="C37" s="11">
        <f>SUMIF('Bill Details'!$A$5:$A$563,A37,'Bill Details'!$D$5:$D$563)</f>
        <v>115200</v>
      </c>
      <c r="D37" s="14" t="e">
        <f ca="1">_xludf.MINIFS('Bill Details'!$E$5:$E$563,'Bill Details'!$A$5:$A$563,A37)</f>
        <v>#NAME?</v>
      </c>
      <c r="E37" s="8" t="e">
        <f ca="1">_xludf.MAXIFS('Bill Details'!$F$5:$F$563,'Bill Details'!$A$5:$A$563,A37)</f>
        <v>#NAME?</v>
      </c>
    </row>
    <row r="38" spans="1:5">
      <c r="A38" s="8" t="s">
        <v>41</v>
      </c>
      <c r="B38" s="8">
        <f>COUNTIF('Bill Details'!$A$5:$A$563,A38)</f>
        <v>2</v>
      </c>
      <c r="C38" s="11">
        <f>SUMIF('Bill Details'!$A$5:$A$563,A38,'Bill Details'!$D$5:$D$563)</f>
        <v>10782</v>
      </c>
      <c r="D38" s="14" t="e">
        <f ca="1">_xludf.MINIFS('Bill Details'!$E$5:$E$563,'Bill Details'!$A$5:$A$563,A38)</f>
        <v>#NAME?</v>
      </c>
      <c r="E38" s="8" t="e">
        <f ca="1">_xludf.MAXIFS('Bill Details'!$F$5:$F$563,'Bill Details'!$A$5:$A$563,A38)</f>
        <v>#NAME?</v>
      </c>
    </row>
    <row r="39" spans="1:5">
      <c r="A39" s="8" t="s">
        <v>42</v>
      </c>
      <c r="B39" s="8">
        <f>COUNTIF('Bill Details'!$A$5:$A$563,A39)</f>
        <v>1</v>
      </c>
      <c r="C39" s="11">
        <f>SUMIF('Bill Details'!$A$5:$A$563,A39,'Bill Details'!$D$5:$D$563)</f>
        <v>764</v>
      </c>
      <c r="D39" s="14" t="e">
        <f ca="1">_xludf.MINIFS('Bill Details'!$E$5:$E$563,'Bill Details'!$A$5:$A$563,A39)</f>
        <v>#NAME?</v>
      </c>
      <c r="E39" s="8" t="e">
        <f ca="1">_xludf.MAXIFS('Bill Details'!$F$5:$F$563,'Bill Details'!$A$5:$A$563,A39)</f>
        <v>#NAME?</v>
      </c>
    </row>
    <row r="40" spans="1:5">
      <c r="A40" s="8" t="s">
        <v>43</v>
      </c>
      <c r="B40" s="8">
        <f>COUNTIF('Bill Details'!$A$5:$A$563,A40)</f>
        <v>4</v>
      </c>
      <c r="C40" s="11">
        <f>SUMIF('Bill Details'!$A$5:$A$563,A40,'Bill Details'!$D$5:$D$563)</f>
        <v>68959</v>
      </c>
      <c r="D40" s="14" t="e">
        <f ca="1">_xludf.MINIFS('Bill Details'!$E$5:$E$563,'Bill Details'!$A$5:$A$563,A40)</f>
        <v>#NAME?</v>
      </c>
      <c r="E40" s="8" t="e">
        <f ca="1">_xludf.MAXIFS('Bill Details'!$F$5:$F$563,'Bill Details'!$A$5:$A$563,A40)</f>
        <v>#NAME?</v>
      </c>
    </row>
    <row r="41" spans="1:5">
      <c r="A41" s="8" t="s">
        <v>44</v>
      </c>
      <c r="B41" s="8">
        <f>COUNTIF('Bill Details'!$A$5:$A$563,A41)</f>
        <v>3</v>
      </c>
      <c r="C41" s="11">
        <f>SUMIF('Bill Details'!$A$5:$A$563,A41,'Bill Details'!$D$5:$D$563)</f>
        <v>30500</v>
      </c>
      <c r="D41" s="14" t="e">
        <f ca="1">_xludf.MINIFS('Bill Details'!$E$5:$E$563,'Bill Details'!$A$5:$A$563,A41)</f>
        <v>#NAME?</v>
      </c>
      <c r="E41" s="8" t="e">
        <f ca="1">_xludf.MAXIFS('Bill Details'!$F$5:$F$563,'Bill Details'!$A$5:$A$563,A41)</f>
        <v>#NAME?</v>
      </c>
    </row>
    <row r="42" spans="1:5">
      <c r="A42" s="8" t="s">
        <v>45</v>
      </c>
      <c r="B42" s="8">
        <f>COUNTIF('Bill Details'!$A$5:$A$563,A42)</f>
        <v>1</v>
      </c>
      <c r="C42" s="11">
        <f>SUMIF('Bill Details'!$A$5:$A$563,A42,'Bill Details'!$D$5:$D$563)</f>
        <v>360</v>
      </c>
      <c r="D42" s="14" t="e">
        <f ca="1">_xludf.MINIFS('Bill Details'!$E$5:$E$563,'Bill Details'!$A$5:$A$563,A42)</f>
        <v>#NAME?</v>
      </c>
      <c r="E42" s="8" t="e">
        <f ca="1">_xludf.MAXIFS('Bill Details'!$F$5:$F$563,'Bill Details'!$A$5:$A$563,A42)</f>
        <v>#NAME?</v>
      </c>
    </row>
    <row r="43" spans="1:5">
      <c r="A43" s="8" t="s">
        <v>46</v>
      </c>
      <c r="B43" s="8">
        <f>COUNTIF('Bill Details'!$A$5:$A$563,A43)</f>
        <v>8</v>
      </c>
      <c r="C43" s="11">
        <f>SUMIF('Bill Details'!$A$5:$A$563,A43,'Bill Details'!$D$5:$D$563)</f>
        <v>145391</v>
      </c>
      <c r="D43" s="14" t="e">
        <f ca="1">_xludf.MINIFS('Bill Details'!$E$5:$E$563,'Bill Details'!$A$5:$A$563,A43)</f>
        <v>#NAME?</v>
      </c>
      <c r="E43" s="8" t="e">
        <f ca="1">_xludf.MAXIFS('Bill Details'!$F$5:$F$563,'Bill Details'!$A$5:$A$563,A43)</f>
        <v>#NAME?</v>
      </c>
    </row>
    <row r="44" spans="1:5">
      <c r="A44" s="8" t="s">
        <v>47</v>
      </c>
      <c r="B44" s="8">
        <f>COUNTIF('Bill Details'!$A$5:$A$563,A44)</f>
        <v>8</v>
      </c>
      <c r="C44" s="11">
        <f>SUMIF('Bill Details'!$A$5:$A$563,A44,'Bill Details'!$D$5:$D$563)</f>
        <v>67304</v>
      </c>
      <c r="D44" s="14" t="e">
        <f ca="1">_xludf.MINIFS('Bill Details'!$E$5:$E$563,'Bill Details'!$A$5:$A$563,A44)</f>
        <v>#NAME?</v>
      </c>
      <c r="E44" s="8" t="e">
        <f ca="1">_xludf.MAXIFS('Bill Details'!$F$5:$F$563,'Bill Details'!$A$5:$A$563,A44)</f>
        <v>#NAME?</v>
      </c>
    </row>
    <row r="45" spans="1:5">
      <c r="A45" s="8" t="s">
        <v>48</v>
      </c>
      <c r="B45" s="8">
        <f>COUNTIF('Bill Details'!$A$5:$A$563,A45)</f>
        <v>1</v>
      </c>
      <c r="C45" s="11">
        <f>SUMIF('Bill Details'!$A$5:$A$563,A45,'Bill Details'!$D$5:$D$563)</f>
        <v>9828</v>
      </c>
      <c r="D45" s="14" t="e">
        <f ca="1">_xludf.MINIFS('Bill Details'!$E$5:$E$563,'Bill Details'!$A$5:$A$563,A45)</f>
        <v>#NAME?</v>
      </c>
      <c r="E45" s="8" t="e">
        <f ca="1">_xludf.MAXIFS('Bill Details'!$F$5:$F$563,'Bill Details'!$A$5:$A$563,A45)</f>
        <v>#NAME?</v>
      </c>
    </row>
    <row r="46" spans="1:5">
      <c r="A46" s="8" t="s">
        <v>49</v>
      </c>
      <c r="B46" s="8">
        <f>COUNTIF('Bill Details'!$A$5:$A$563,A46)</f>
        <v>1</v>
      </c>
      <c r="C46" s="11">
        <f>SUMIF('Bill Details'!$A$5:$A$563,A46,'Bill Details'!$D$5:$D$563)</f>
        <v>3186</v>
      </c>
      <c r="D46" s="14" t="e">
        <f ca="1">_xludf.MINIFS('Bill Details'!$E$5:$E$563,'Bill Details'!$A$5:$A$563,A46)</f>
        <v>#NAME?</v>
      </c>
      <c r="E46" s="8" t="e">
        <f ca="1">_xludf.MAXIFS('Bill Details'!$F$5:$F$563,'Bill Details'!$A$5:$A$563,A46)</f>
        <v>#NAME?</v>
      </c>
    </row>
    <row r="47" spans="1:5">
      <c r="A47" s="8" t="s">
        <v>50</v>
      </c>
      <c r="B47" s="8">
        <f>COUNTIF('Bill Details'!$A$5:$A$563,A47)</f>
        <v>1</v>
      </c>
      <c r="C47" s="11">
        <f>SUMIF('Bill Details'!$A$5:$A$563,A47,'Bill Details'!$D$5:$D$563)</f>
        <v>1900</v>
      </c>
      <c r="D47" s="14" t="e">
        <f ca="1">_xludf.MINIFS('Bill Details'!$E$5:$E$563,'Bill Details'!$A$5:$A$563,A47)</f>
        <v>#NAME?</v>
      </c>
      <c r="E47" s="8" t="e">
        <f ca="1">_xludf.MAXIFS('Bill Details'!$F$5:$F$563,'Bill Details'!$A$5:$A$563,A47)</f>
        <v>#NAME?</v>
      </c>
    </row>
    <row r="48" spans="1:5">
      <c r="A48" s="8" t="s">
        <v>51</v>
      </c>
      <c r="B48" s="8">
        <f>COUNTIF('Bill Details'!$A$5:$A$563,A48)</f>
        <v>11</v>
      </c>
      <c r="C48" s="11">
        <f>SUMIF('Bill Details'!$A$5:$A$563,A48,'Bill Details'!$D$5:$D$563)</f>
        <v>117780</v>
      </c>
      <c r="D48" s="14" t="e">
        <f ca="1">_xludf.MINIFS('Bill Details'!$E$5:$E$563,'Bill Details'!$A$5:$A$563,A48)</f>
        <v>#NAME?</v>
      </c>
      <c r="E48" s="8" t="e">
        <f ca="1">_xludf.MAXIFS('Bill Details'!$F$5:$F$563,'Bill Details'!$A$5:$A$563,A48)</f>
        <v>#NAME?</v>
      </c>
    </row>
    <row r="49" spans="1:5">
      <c r="A49" s="8" t="s">
        <v>52</v>
      </c>
      <c r="B49" s="8">
        <f>COUNTIF('Bill Details'!$A$5:$A$563,A49)</f>
        <v>3</v>
      </c>
      <c r="C49" s="11">
        <f>SUMIF('Bill Details'!$A$5:$A$563,A49,'Bill Details'!$D$5:$D$563)</f>
        <v>22266</v>
      </c>
      <c r="D49" s="14" t="e">
        <f ca="1">_xludf.MINIFS('Bill Details'!$E$5:$E$563,'Bill Details'!$A$5:$A$563,A49)</f>
        <v>#NAME?</v>
      </c>
      <c r="E49" s="8" t="e">
        <f ca="1">_xludf.MAXIFS('Bill Details'!$F$5:$F$563,'Bill Details'!$A$5:$A$563,A49)</f>
        <v>#NAME?</v>
      </c>
    </row>
    <row r="50" spans="1:5">
      <c r="A50" s="8" t="s">
        <v>53</v>
      </c>
      <c r="B50" s="8">
        <f>COUNTIF('Bill Details'!$A$5:$A$563,A50)</f>
        <v>1</v>
      </c>
      <c r="C50" s="11">
        <f>SUMIF('Bill Details'!$A$5:$A$563,A50,'Bill Details'!$D$5:$D$563)</f>
        <v>1001</v>
      </c>
      <c r="D50" s="14" t="e">
        <f ca="1">_xludf.MINIFS('Bill Details'!$E$5:$E$563,'Bill Details'!$A$5:$A$563,A50)</f>
        <v>#NAME?</v>
      </c>
      <c r="E50" s="8" t="e">
        <f ca="1">_xludf.MAXIFS('Bill Details'!$F$5:$F$563,'Bill Details'!$A$5:$A$563,A50)</f>
        <v>#NAME?</v>
      </c>
    </row>
    <row r="51" spans="1:5">
      <c r="A51" s="8" t="s">
        <v>54</v>
      </c>
      <c r="B51" s="8">
        <f>COUNTIF('Bill Details'!$A$5:$A$563,A51)</f>
        <v>3</v>
      </c>
      <c r="C51" s="11">
        <f>SUMIF('Bill Details'!$A$5:$A$563,A51,'Bill Details'!$D$5:$D$563)</f>
        <v>3365</v>
      </c>
      <c r="D51" s="14" t="e">
        <f ca="1">_xludf.MINIFS('Bill Details'!$E$5:$E$563,'Bill Details'!$A$5:$A$563,A51)</f>
        <v>#NAME?</v>
      </c>
      <c r="E51" s="8" t="e">
        <f ca="1">_xludf.MAXIFS('Bill Details'!$F$5:$F$563,'Bill Details'!$A$5:$A$563,A51)</f>
        <v>#NAME?</v>
      </c>
    </row>
    <row r="52" spans="1:5">
      <c r="A52" s="8" t="s">
        <v>55</v>
      </c>
      <c r="B52" s="8">
        <f>COUNTIF('Bill Details'!$A$5:$A$563,A52)</f>
        <v>7</v>
      </c>
      <c r="C52" s="11">
        <f>SUMIF('Bill Details'!$A$5:$A$563,A52,'Bill Details'!$D$5:$D$563)</f>
        <v>66432</v>
      </c>
      <c r="D52" s="14" t="e">
        <f ca="1">_xludf.MINIFS('Bill Details'!$E$5:$E$563,'Bill Details'!$A$5:$A$563,A52)</f>
        <v>#NAME?</v>
      </c>
      <c r="E52" s="8" t="e">
        <f ca="1">_xludf.MAXIFS('Bill Details'!$F$5:$F$563,'Bill Details'!$A$5:$A$563,A52)</f>
        <v>#NAME?</v>
      </c>
    </row>
    <row r="53" spans="1:5">
      <c r="A53" s="8" t="s">
        <v>56</v>
      </c>
      <c r="B53" s="8">
        <f>COUNTIF('Bill Details'!$A$5:$A$563,A53)</f>
        <v>3</v>
      </c>
      <c r="C53" s="11">
        <f>SUMIF('Bill Details'!$A$5:$A$563,A53,'Bill Details'!$D$5:$D$563)</f>
        <v>12136</v>
      </c>
      <c r="D53" s="14" t="e">
        <f ca="1">_xludf.MINIFS('Bill Details'!$E$5:$E$563,'Bill Details'!$A$5:$A$563,A53)</f>
        <v>#NAME?</v>
      </c>
      <c r="E53" s="8" t="e">
        <f ca="1">_xludf.MAXIFS('Bill Details'!$F$5:$F$563,'Bill Details'!$A$5:$A$563,A53)</f>
        <v>#NAME?</v>
      </c>
    </row>
    <row r="54" spans="1:5">
      <c r="A54" s="8" t="s">
        <v>57</v>
      </c>
      <c r="B54" s="8">
        <f>COUNTIF('Bill Details'!$A$5:$A$563,A54)</f>
        <v>1</v>
      </c>
      <c r="C54" s="11">
        <f>SUMIF('Bill Details'!$A$5:$A$563,A54,'Bill Details'!$D$5:$D$563)</f>
        <v>178</v>
      </c>
      <c r="D54" s="14" t="e">
        <f ca="1">_xludf.MINIFS('Bill Details'!$E$5:$E$563,'Bill Details'!$A$5:$A$563,A54)</f>
        <v>#NAME?</v>
      </c>
      <c r="E54" s="8" t="e">
        <f ca="1">_xludf.MAXIFS('Bill Details'!$F$5:$F$563,'Bill Details'!$A$5:$A$563,A54)</f>
        <v>#NAME?</v>
      </c>
    </row>
    <row r="55" spans="1:5">
      <c r="A55" s="8" t="s">
        <v>58</v>
      </c>
      <c r="B55" s="8">
        <f>COUNTIF('Bill Details'!$A$5:$A$563,A55)</f>
        <v>2</v>
      </c>
      <c r="C55" s="11">
        <f>SUMIF('Bill Details'!$A$5:$A$563,A55,'Bill Details'!$D$5:$D$563)</f>
        <v>28320</v>
      </c>
      <c r="D55" s="14" t="e">
        <f ca="1">_xludf.MINIFS('Bill Details'!$E$5:$E$563,'Bill Details'!$A$5:$A$563,A55)</f>
        <v>#NAME?</v>
      </c>
      <c r="E55" s="8" t="e">
        <f ca="1">_xludf.MAXIFS('Bill Details'!$F$5:$F$563,'Bill Details'!$A$5:$A$563,A55)</f>
        <v>#NAME?</v>
      </c>
    </row>
    <row r="56" spans="1:5">
      <c r="A56" s="8" t="s">
        <v>59</v>
      </c>
      <c r="B56" s="8">
        <f>COUNTIF('Bill Details'!$A$5:$A$563,A56)</f>
        <v>10</v>
      </c>
      <c r="C56" s="11">
        <f>SUMIF('Bill Details'!$A$5:$A$563,A56,'Bill Details'!$D$5:$D$563)</f>
        <v>180026</v>
      </c>
      <c r="D56" s="14" t="e">
        <f ca="1">_xludf.MINIFS('Bill Details'!$E$5:$E$563,'Bill Details'!$A$5:$A$563,A56)</f>
        <v>#NAME?</v>
      </c>
      <c r="E56" s="8" t="e">
        <f ca="1">_xludf.MAXIFS('Bill Details'!$F$5:$F$563,'Bill Details'!$A$5:$A$563,A56)</f>
        <v>#NAME?</v>
      </c>
    </row>
    <row r="57" spans="1:5">
      <c r="A57" s="8" t="s">
        <v>60</v>
      </c>
      <c r="B57" s="8">
        <f>COUNTIF('Bill Details'!$A$5:$A$563,A57)</f>
        <v>6</v>
      </c>
      <c r="C57" s="11">
        <f>SUMIF('Bill Details'!$A$5:$A$563,A57,'Bill Details'!$D$5:$D$563)</f>
        <v>78587</v>
      </c>
      <c r="D57" s="14" t="e">
        <f ca="1">_xludf.MINIFS('Bill Details'!$E$5:$E$563,'Bill Details'!$A$5:$A$563,A57)</f>
        <v>#NAME?</v>
      </c>
      <c r="E57" s="8" t="e">
        <f ca="1">_xludf.MAXIFS('Bill Details'!$F$5:$F$563,'Bill Details'!$A$5:$A$563,A57)</f>
        <v>#NAME?</v>
      </c>
    </row>
    <row r="58" spans="1:5">
      <c r="A58" s="8" t="s">
        <v>61</v>
      </c>
      <c r="B58" s="8">
        <f>COUNTIF('Bill Details'!$A$5:$A$563,A58)</f>
        <v>1</v>
      </c>
      <c r="C58" s="11">
        <f>SUMIF('Bill Details'!$A$5:$A$563,A58,'Bill Details'!$D$5:$D$563)</f>
        <v>1770</v>
      </c>
      <c r="D58" s="14" t="e">
        <f ca="1">_xludf.MINIFS('Bill Details'!$E$5:$E$563,'Bill Details'!$A$5:$A$563,A58)</f>
        <v>#NAME?</v>
      </c>
      <c r="E58" s="8" t="e">
        <f ca="1">_xludf.MAXIFS('Bill Details'!$F$5:$F$563,'Bill Details'!$A$5:$A$563,A58)</f>
        <v>#NAME?</v>
      </c>
    </row>
    <row r="59" spans="1:5">
      <c r="A59" s="8" t="s">
        <v>62</v>
      </c>
      <c r="B59" s="8">
        <f>COUNTIF('Bill Details'!$A$5:$A$563,A59)</f>
        <v>1</v>
      </c>
      <c r="C59" s="11">
        <f>SUMIF('Bill Details'!$A$5:$A$563,A59,'Bill Details'!$D$5:$D$563)</f>
        <v>675</v>
      </c>
      <c r="D59" s="14" t="e">
        <f ca="1">_xludf.MINIFS('Bill Details'!$E$5:$E$563,'Bill Details'!$A$5:$A$563,A59)</f>
        <v>#NAME?</v>
      </c>
      <c r="E59" s="8" t="e">
        <f ca="1">_xludf.MAXIFS('Bill Details'!$F$5:$F$563,'Bill Details'!$A$5:$A$563,A59)</f>
        <v>#NAME?</v>
      </c>
    </row>
    <row r="60" spans="1:5">
      <c r="A60" s="8" t="s">
        <v>63</v>
      </c>
      <c r="B60" s="8">
        <f>COUNTIF('Bill Details'!$A$5:$A$563,A60)</f>
        <v>1</v>
      </c>
      <c r="C60" s="11">
        <f>SUMIF('Bill Details'!$A$5:$A$563,A60,'Bill Details'!$D$5:$D$563)</f>
        <v>1605</v>
      </c>
      <c r="D60" s="14" t="e">
        <f ca="1">_xludf.MINIFS('Bill Details'!$E$5:$E$563,'Bill Details'!$A$5:$A$563,A60)</f>
        <v>#NAME?</v>
      </c>
      <c r="E60" s="8" t="e">
        <f ca="1">_xludf.MAXIFS('Bill Details'!$F$5:$F$563,'Bill Details'!$A$5:$A$563,A60)</f>
        <v>#NAME?</v>
      </c>
    </row>
    <row r="61" spans="1:5">
      <c r="A61" s="8" t="s">
        <v>64</v>
      </c>
      <c r="B61" s="8">
        <f>COUNTIF('Bill Details'!$A$5:$A$563,A61)</f>
        <v>1</v>
      </c>
      <c r="C61" s="11">
        <f>SUMIF('Bill Details'!$A$5:$A$563,A61,'Bill Details'!$D$5:$D$563)</f>
        <v>3500</v>
      </c>
      <c r="D61" s="14" t="e">
        <f ca="1">_xludf.MINIFS('Bill Details'!$E$5:$E$563,'Bill Details'!$A$5:$A$563,A61)</f>
        <v>#NAME?</v>
      </c>
      <c r="E61" s="8" t="e">
        <f ca="1">_xludf.MAXIFS('Bill Details'!$F$5:$F$563,'Bill Details'!$A$5:$A$563,A61)</f>
        <v>#NAME?</v>
      </c>
    </row>
    <row r="62" spans="1:5">
      <c r="A62" s="8" t="s">
        <v>65</v>
      </c>
      <c r="B62" s="8">
        <f>COUNTIF('Bill Details'!$A$5:$A$563,A62)</f>
        <v>5</v>
      </c>
      <c r="C62" s="11">
        <f>SUMIF('Bill Details'!$A$5:$A$563,A62,'Bill Details'!$D$5:$D$563)</f>
        <v>8114</v>
      </c>
      <c r="D62" s="14" t="e">
        <f ca="1">_xludf.MINIFS('Bill Details'!$E$5:$E$563,'Bill Details'!$A$5:$A$563,A62)</f>
        <v>#NAME?</v>
      </c>
      <c r="E62" s="8" t="e">
        <f ca="1">_xludf.MAXIFS('Bill Details'!$F$5:$F$563,'Bill Details'!$A$5:$A$563,A62)</f>
        <v>#NAME?</v>
      </c>
    </row>
    <row r="63" spans="1:5">
      <c r="A63" s="8" t="s">
        <v>66</v>
      </c>
      <c r="B63" s="8">
        <f>COUNTIF('Bill Details'!$A$5:$A$563,A63)</f>
        <v>1</v>
      </c>
      <c r="C63" s="11">
        <f>SUMIF('Bill Details'!$A$5:$A$563,A63,'Bill Details'!$D$5:$D$563)</f>
        <v>880</v>
      </c>
      <c r="D63" s="14" t="e">
        <f ca="1">_xludf.MINIFS('Bill Details'!$E$5:$E$563,'Bill Details'!$A$5:$A$563,A63)</f>
        <v>#NAME?</v>
      </c>
      <c r="E63" s="8" t="e">
        <f ca="1">_xludf.MAXIFS('Bill Details'!$F$5:$F$563,'Bill Details'!$A$5:$A$563,A63)</f>
        <v>#NAME?</v>
      </c>
    </row>
    <row r="64" spans="1:5">
      <c r="A64" s="8" t="s">
        <v>67</v>
      </c>
      <c r="B64" s="8">
        <f>COUNTIF('Bill Details'!$A$5:$A$563,A64)</f>
        <v>1</v>
      </c>
      <c r="C64" s="11">
        <f>SUMIF('Bill Details'!$A$5:$A$563,A64,'Bill Details'!$D$5:$D$563)</f>
        <v>7670</v>
      </c>
      <c r="D64" s="14" t="e">
        <f ca="1">_xludf.MINIFS('Bill Details'!$E$5:$E$563,'Bill Details'!$A$5:$A$563,A64)</f>
        <v>#NAME?</v>
      </c>
      <c r="E64" s="8" t="e">
        <f ca="1">_xludf.MAXIFS('Bill Details'!$F$5:$F$563,'Bill Details'!$A$5:$A$563,A64)</f>
        <v>#NAME?</v>
      </c>
    </row>
    <row r="65" spans="1:5">
      <c r="A65" s="8" t="s">
        <v>68</v>
      </c>
      <c r="B65" s="8">
        <f>COUNTIF('Bill Details'!$A$5:$A$563,A65)</f>
        <v>1</v>
      </c>
      <c r="C65" s="11">
        <f>SUMIF('Bill Details'!$A$5:$A$563,A65,'Bill Details'!$D$5:$D$563)</f>
        <v>13000</v>
      </c>
      <c r="D65" s="14" t="e">
        <f ca="1">_xludf.MINIFS('Bill Details'!$E$5:$E$563,'Bill Details'!$A$5:$A$563,A65)</f>
        <v>#NAME?</v>
      </c>
      <c r="E65" s="8" t="e">
        <f ca="1">_xludf.MAXIFS('Bill Details'!$F$5:$F$563,'Bill Details'!$A$5:$A$563,A65)</f>
        <v>#NAME?</v>
      </c>
    </row>
    <row r="66" spans="1:5">
      <c r="A66" s="8" t="s">
        <v>69</v>
      </c>
      <c r="B66" s="8">
        <f>COUNTIF('Bill Details'!$A$5:$A$563,A66)</f>
        <v>1</v>
      </c>
      <c r="C66" s="11">
        <f>SUMIF('Bill Details'!$A$5:$A$563,A66,'Bill Details'!$D$5:$D$563)</f>
        <v>4500</v>
      </c>
      <c r="D66" s="14" t="e">
        <f ca="1">_xludf.MINIFS('Bill Details'!$E$5:$E$563,'Bill Details'!$A$5:$A$563,A66)</f>
        <v>#NAME?</v>
      </c>
      <c r="E66" s="8" t="e">
        <f ca="1">_xludf.MAXIFS('Bill Details'!$F$5:$F$563,'Bill Details'!$A$5:$A$563,A66)</f>
        <v>#NAME?</v>
      </c>
    </row>
    <row r="67" spans="1:5">
      <c r="A67" s="8" t="s">
        <v>70</v>
      </c>
      <c r="B67" s="8">
        <f>COUNTIF('Bill Details'!$A$5:$A$563,A67)</f>
        <v>1</v>
      </c>
      <c r="C67" s="11">
        <f>SUMIF('Bill Details'!$A$5:$A$563,A67,'Bill Details'!$D$5:$D$563)</f>
        <v>1200</v>
      </c>
      <c r="D67" s="14" t="e">
        <f ca="1">_xludf.MINIFS('Bill Details'!$E$5:$E$563,'Bill Details'!$A$5:$A$563,A67)</f>
        <v>#NAME?</v>
      </c>
      <c r="E67" s="8" t="e">
        <f ca="1">_xludf.MAXIFS('Bill Details'!$F$5:$F$563,'Bill Details'!$A$5:$A$563,A67)</f>
        <v>#NAME?</v>
      </c>
    </row>
    <row r="68" spans="1:5">
      <c r="A68" s="8" t="s">
        <v>71</v>
      </c>
      <c r="B68" s="8">
        <f>COUNTIF('Bill Details'!$A$5:$A$563,A68)</f>
        <v>1</v>
      </c>
      <c r="C68" s="11">
        <f>SUMIF('Bill Details'!$A$5:$A$563,A68,'Bill Details'!$D$5:$D$563)</f>
        <v>3150</v>
      </c>
      <c r="D68" s="14" t="e">
        <f ca="1">_xludf.MINIFS('Bill Details'!$E$5:$E$563,'Bill Details'!$A$5:$A$563,A68)</f>
        <v>#NAME?</v>
      </c>
      <c r="E68" s="8" t="e">
        <f ca="1">_xludf.MAXIFS('Bill Details'!$F$5:$F$563,'Bill Details'!$A$5:$A$563,A68)</f>
        <v>#NAME?</v>
      </c>
    </row>
    <row r="69" spans="1:5">
      <c r="A69" s="8" t="s">
        <v>72</v>
      </c>
      <c r="B69" s="8">
        <f>COUNTIF('Bill Details'!$A$5:$A$563,A69)</f>
        <v>11</v>
      </c>
      <c r="C69" s="11">
        <f>SUMIF('Bill Details'!$A$5:$A$563,A69,'Bill Details'!$D$5:$D$563)</f>
        <v>112332</v>
      </c>
      <c r="D69" s="14" t="e">
        <f ca="1">_xludf.MINIFS('Bill Details'!$E$5:$E$563,'Bill Details'!$A$5:$A$563,A69)</f>
        <v>#NAME?</v>
      </c>
      <c r="E69" s="8" t="e">
        <f ca="1">_xludf.MAXIFS('Bill Details'!$F$5:$F$563,'Bill Details'!$A$5:$A$563,A69)</f>
        <v>#NAME?</v>
      </c>
    </row>
    <row r="70" spans="1:5">
      <c r="A70" s="8" t="s">
        <v>73</v>
      </c>
      <c r="B70" s="8">
        <f>COUNTIF('Bill Details'!$A$5:$A$563,A70)</f>
        <v>1</v>
      </c>
      <c r="C70" s="11">
        <f>SUMIF('Bill Details'!$A$5:$A$563,A70,'Bill Details'!$D$5:$D$563)</f>
        <v>1623</v>
      </c>
      <c r="D70" s="14" t="e">
        <f ca="1">_xludf.MINIFS('Bill Details'!$E$5:$E$563,'Bill Details'!$A$5:$A$563,A70)</f>
        <v>#NAME?</v>
      </c>
      <c r="E70" s="8" t="e">
        <f ca="1">_xludf.MAXIFS('Bill Details'!$F$5:$F$563,'Bill Details'!$A$5:$A$563,A70)</f>
        <v>#NAME?</v>
      </c>
    </row>
    <row r="71" spans="1:5">
      <c r="A71" s="8" t="s">
        <v>74</v>
      </c>
      <c r="B71" s="8">
        <f>COUNTIF('Bill Details'!$A$5:$A$563,A71)</f>
        <v>1</v>
      </c>
      <c r="C71" s="11">
        <f>SUMIF('Bill Details'!$A$5:$A$563,A71,'Bill Details'!$D$5:$D$563)</f>
        <v>3900</v>
      </c>
      <c r="D71" s="14" t="e">
        <f ca="1">_xludf.MINIFS('Bill Details'!$E$5:$E$563,'Bill Details'!$A$5:$A$563,A71)</f>
        <v>#NAME?</v>
      </c>
      <c r="E71" s="8" t="e">
        <f ca="1">_xludf.MAXIFS('Bill Details'!$F$5:$F$563,'Bill Details'!$A$5:$A$563,A71)</f>
        <v>#NAME?</v>
      </c>
    </row>
    <row r="72" spans="1:5">
      <c r="A72" s="8" t="s">
        <v>75</v>
      </c>
      <c r="B72" s="8">
        <f>COUNTIF('Bill Details'!$A$5:$A$563,A72)</f>
        <v>1</v>
      </c>
      <c r="C72" s="11">
        <f>SUMIF('Bill Details'!$A$5:$A$563,A72,'Bill Details'!$D$5:$D$563)</f>
        <v>1168</v>
      </c>
      <c r="D72" s="14" t="e">
        <f ca="1">_xludf.MINIFS('Bill Details'!$E$5:$E$563,'Bill Details'!$A$5:$A$563,A72)</f>
        <v>#NAME?</v>
      </c>
      <c r="E72" s="8" t="e">
        <f ca="1">_xludf.MAXIFS('Bill Details'!$F$5:$F$563,'Bill Details'!$A$5:$A$563,A72)</f>
        <v>#NAME?</v>
      </c>
    </row>
    <row r="73" spans="1:5">
      <c r="A73" s="8" t="s">
        <v>76</v>
      </c>
      <c r="B73" s="8">
        <f>COUNTIF('Bill Details'!$A$5:$A$563,A73)</f>
        <v>6</v>
      </c>
      <c r="C73" s="11">
        <f>SUMIF('Bill Details'!$A$5:$A$563,A73,'Bill Details'!$D$5:$D$563)</f>
        <v>182236</v>
      </c>
      <c r="D73" s="14" t="e">
        <f ca="1">_xludf.MINIFS('Bill Details'!$E$5:$E$563,'Bill Details'!$A$5:$A$563,A73)</f>
        <v>#NAME?</v>
      </c>
      <c r="E73" s="8" t="e">
        <f ca="1">_xludf.MAXIFS('Bill Details'!$F$5:$F$563,'Bill Details'!$A$5:$A$563,A73)</f>
        <v>#NAME?</v>
      </c>
    </row>
    <row r="74" spans="1:5">
      <c r="A74" s="8" t="s">
        <v>77</v>
      </c>
      <c r="B74" s="8">
        <f>COUNTIF('Bill Details'!$A$5:$A$563,A74)</f>
        <v>1</v>
      </c>
      <c r="C74" s="11">
        <f>SUMIF('Bill Details'!$A$5:$A$563,A74,'Bill Details'!$D$5:$D$563)</f>
        <v>56</v>
      </c>
      <c r="D74" s="14" t="e">
        <f ca="1">_xludf.MINIFS('Bill Details'!$E$5:$E$563,'Bill Details'!$A$5:$A$563,A74)</f>
        <v>#NAME?</v>
      </c>
      <c r="E74" s="8" t="e">
        <f ca="1">_xludf.MAXIFS('Bill Details'!$F$5:$F$563,'Bill Details'!$A$5:$A$563,A74)</f>
        <v>#NAME?</v>
      </c>
    </row>
    <row r="75" spans="1:5">
      <c r="A75" s="8" t="s">
        <v>78</v>
      </c>
      <c r="B75" s="8">
        <f>COUNTIF('Bill Details'!$A$5:$A$563,A75)</f>
        <v>5</v>
      </c>
      <c r="C75" s="11">
        <f>SUMIF('Bill Details'!$A$5:$A$563,A75,'Bill Details'!$D$5:$D$563)</f>
        <v>28750</v>
      </c>
      <c r="D75" s="14" t="e">
        <f ca="1">_xludf.MINIFS('Bill Details'!$E$5:$E$563,'Bill Details'!$A$5:$A$563,A75)</f>
        <v>#NAME?</v>
      </c>
      <c r="E75" s="8" t="e">
        <f ca="1">_xludf.MAXIFS('Bill Details'!$F$5:$F$563,'Bill Details'!$A$5:$A$563,A75)</f>
        <v>#NAME?</v>
      </c>
    </row>
    <row r="76" spans="1:5">
      <c r="A76" s="8" t="s">
        <v>79</v>
      </c>
      <c r="B76" s="8">
        <f>COUNTIF('Bill Details'!$A$5:$A$563,A76)</f>
        <v>5</v>
      </c>
      <c r="C76" s="11">
        <f>SUMIF('Bill Details'!$A$5:$A$563,A76,'Bill Details'!$D$5:$D$563)</f>
        <v>108563</v>
      </c>
      <c r="D76" s="14" t="e">
        <f ca="1">_xludf.MINIFS('Bill Details'!$E$5:$E$563,'Bill Details'!$A$5:$A$563,A76)</f>
        <v>#NAME?</v>
      </c>
      <c r="E76" s="8" t="e">
        <f ca="1">_xludf.MAXIFS('Bill Details'!$F$5:$F$563,'Bill Details'!$A$5:$A$563,A76)</f>
        <v>#NAME?</v>
      </c>
    </row>
    <row r="77" spans="1:5">
      <c r="A77" s="8" t="s">
        <v>80</v>
      </c>
      <c r="B77" s="8">
        <f>COUNTIF('Bill Details'!$A$5:$A$563,A77)</f>
        <v>1</v>
      </c>
      <c r="C77" s="11">
        <f>SUMIF('Bill Details'!$A$5:$A$563,A77,'Bill Details'!$D$5:$D$563)</f>
        <v>1760</v>
      </c>
      <c r="D77" s="14" t="e">
        <f ca="1">_xludf.MINIFS('Bill Details'!$E$5:$E$563,'Bill Details'!$A$5:$A$563,A77)</f>
        <v>#NAME?</v>
      </c>
      <c r="E77" s="8" t="e">
        <f ca="1">_xludf.MAXIFS('Bill Details'!$F$5:$F$563,'Bill Details'!$A$5:$A$563,A77)</f>
        <v>#NAME?</v>
      </c>
    </row>
    <row r="78" spans="1:5">
      <c r="A78" s="8" t="s">
        <v>81</v>
      </c>
      <c r="B78" s="8">
        <f>COUNTIF('Bill Details'!$A$5:$A$563,A78)</f>
        <v>1</v>
      </c>
      <c r="C78" s="11">
        <f>SUMIF('Bill Details'!$A$5:$A$563,A78,'Bill Details'!$D$5:$D$563)</f>
        <v>7357</v>
      </c>
      <c r="D78" s="14" t="e">
        <f ca="1">_xludf.MINIFS('Bill Details'!$E$5:$E$563,'Bill Details'!$A$5:$A$563,A78)</f>
        <v>#NAME?</v>
      </c>
      <c r="E78" s="8" t="e">
        <f ca="1">_xludf.MAXIFS('Bill Details'!$F$5:$F$563,'Bill Details'!$A$5:$A$563,A78)</f>
        <v>#NAME?</v>
      </c>
    </row>
    <row r="79" spans="1:5">
      <c r="A79" s="8" t="s">
        <v>82</v>
      </c>
      <c r="B79" s="8">
        <f>COUNTIF('Bill Details'!$A$5:$A$563,A79)</f>
        <v>2</v>
      </c>
      <c r="C79" s="11">
        <f>SUMIF('Bill Details'!$A$5:$A$563,A79,'Bill Details'!$D$5:$D$563)</f>
        <v>15171</v>
      </c>
      <c r="D79" s="14" t="e">
        <f ca="1">_xludf.MINIFS('Bill Details'!$E$5:$E$563,'Bill Details'!$A$5:$A$563,A79)</f>
        <v>#NAME?</v>
      </c>
      <c r="E79" s="8" t="e">
        <f ca="1">_xludf.MAXIFS('Bill Details'!$F$5:$F$563,'Bill Details'!$A$5:$A$563,A79)</f>
        <v>#NAME?</v>
      </c>
    </row>
    <row r="80" spans="1:5">
      <c r="A80" s="8" t="s">
        <v>83</v>
      </c>
      <c r="B80" s="8">
        <f>COUNTIF('Bill Details'!$A$5:$A$563,A80)</f>
        <v>1</v>
      </c>
      <c r="C80" s="11">
        <f>SUMIF('Bill Details'!$A$5:$A$563,A80,'Bill Details'!$D$5:$D$563)</f>
        <v>17175</v>
      </c>
      <c r="D80" s="14" t="e">
        <f ca="1">_xludf.MINIFS('Bill Details'!$E$5:$E$563,'Bill Details'!$A$5:$A$563,A80)</f>
        <v>#NAME?</v>
      </c>
      <c r="E80" s="8" t="e">
        <f ca="1">_xludf.MAXIFS('Bill Details'!$F$5:$F$563,'Bill Details'!$A$5:$A$563,A80)</f>
        <v>#NAME?</v>
      </c>
    </row>
    <row r="81" spans="1:5">
      <c r="A81" s="8" t="s">
        <v>84</v>
      </c>
      <c r="B81" s="8">
        <f>COUNTIF('Bill Details'!$A$5:$A$563,A81)</f>
        <v>2</v>
      </c>
      <c r="C81" s="11">
        <f>SUMIF('Bill Details'!$A$5:$A$563,A81,'Bill Details'!$D$5:$D$563)</f>
        <v>15925</v>
      </c>
      <c r="D81" s="14" t="e">
        <f ca="1">_xludf.MINIFS('Bill Details'!$E$5:$E$563,'Bill Details'!$A$5:$A$563,A81)</f>
        <v>#NAME?</v>
      </c>
      <c r="E81" s="8" t="e">
        <f ca="1">_xludf.MAXIFS('Bill Details'!$F$5:$F$563,'Bill Details'!$A$5:$A$563,A81)</f>
        <v>#NAME?</v>
      </c>
    </row>
    <row r="82" spans="1:5">
      <c r="A82" s="8" t="s">
        <v>85</v>
      </c>
      <c r="B82" s="8">
        <f>COUNTIF('Bill Details'!$A$5:$A$563,A82)</f>
        <v>1</v>
      </c>
      <c r="C82" s="11">
        <f>SUMIF('Bill Details'!$A$5:$A$563,A82,'Bill Details'!$D$5:$D$563)</f>
        <v>295</v>
      </c>
      <c r="D82" s="14" t="e">
        <f ca="1">_xludf.MINIFS('Bill Details'!$E$5:$E$563,'Bill Details'!$A$5:$A$563,A82)</f>
        <v>#NAME?</v>
      </c>
      <c r="E82" s="8" t="e">
        <f ca="1">_xludf.MAXIFS('Bill Details'!$F$5:$F$563,'Bill Details'!$A$5:$A$563,A82)</f>
        <v>#NAME?</v>
      </c>
    </row>
    <row r="83" spans="1:5">
      <c r="A83" s="8" t="s">
        <v>86</v>
      </c>
      <c r="B83" s="8">
        <f>COUNTIF('Bill Details'!$A$5:$A$563,A83)</f>
        <v>1</v>
      </c>
      <c r="C83" s="11">
        <f>SUMIF('Bill Details'!$A$5:$A$563,A83,'Bill Details'!$D$5:$D$563)</f>
        <v>2832</v>
      </c>
      <c r="D83" s="14" t="e">
        <f ca="1">_xludf.MINIFS('Bill Details'!$E$5:$E$563,'Bill Details'!$A$5:$A$563,A83)</f>
        <v>#NAME?</v>
      </c>
      <c r="E83" s="8" t="e">
        <f ca="1">_xludf.MAXIFS('Bill Details'!$F$5:$F$563,'Bill Details'!$A$5:$A$563,A83)</f>
        <v>#NAME?</v>
      </c>
    </row>
    <row r="84" spans="1:5">
      <c r="A84" s="8" t="s">
        <v>87</v>
      </c>
      <c r="B84" s="8">
        <f>COUNTIF('Bill Details'!$A$5:$A$563,A84)</f>
        <v>5</v>
      </c>
      <c r="C84" s="11">
        <f>SUMIF('Bill Details'!$A$5:$A$563,A84,'Bill Details'!$D$5:$D$563)</f>
        <v>107502</v>
      </c>
      <c r="D84" s="14" t="e">
        <f ca="1">_xludf.MINIFS('Bill Details'!$E$5:$E$563,'Bill Details'!$A$5:$A$563,A84)</f>
        <v>#NAME?</v>
      </c>
      <c r="E84" s="8" t="e">
        <f ca="1">_xludf.MAXIFS('Bill Details'!$F$5:$F$563,'Bill Details'!$A$5:$A$563,A84)</f>
        <v>#NAME?</v>
      </c>
    </row>
    <row r="85" spans="1:5">
      <c r="A85" s="8" t="s">
        <v>88</v>
      </c>
      <c r="B85" s="8">
        <f>COUNTIF('Bill Details'!$A$5:$A$563,A85)</f>
        <v>1</v>
      </c>
      <c r="C85" s="11">
        <f>SUMIF('Bill Details'!$A$5:$A$563,A85,'Bill Details'!$D$5:$D$563)</f>
        <v>16988</v>
      </c>
      <c r="D85" s="14" t="e">
        <f ca="1">_xludf.MINIFS('Bill Details'!$E$5:$E$563,'Bill Details'!$A$5:$A$563,A85)</f>
        <v>#NAME?</v>
      </c>
      <c r="E85" s="8" t="e">
        <f ca="1">_xludf.MAXIFS('Bill Details'!$F$5:$F$563,'Bill Details'!$A$5:$A$563,A85)</f>
        <v>#NAME?</v>
      </c>
    </row>
    <row r="86" spans="1:5">
      <c r="A86" s="8" t="s">
        <v>89</v>
      </c>
      <c r="B86" s="8">
        <f>COUNTIF('Bill Details'!$A$5:$A$563,A86)</f>
        <v>1</v>
      </c>
      <c r="C86" s="11">
        <f>SUMIF('Bill Details'!$A$5:$A$563,A86,'Bill Details'!$D$5:$D$563)</f>
        <v>1671</v>
      </c>
      <c r="D86" s="14" t="e">
        <f ca="1">_xludf.MINIFS('Bill Details'!$E$5:$E$563,'Bill Details'!$A$5:$A$563,A86)</f>
        <v>#NAME?</v>
      </c>
      <c r="E86" s="8" t="e">
        <f ca="1">_xludf.MAXIFS('Bill Details'!$F$5:$F$563,'Bill Details'!$A$5:$A$563,A86)</f>
        <v>#NAME?</v>
      </c>
    </row>
    <row r="87" spans="1:5">
      <c r="A87" s="8" t="s">
        <v>90</v>
      </c>
      <c r="B87" s="8">
        <f>COUNTIF('Bill Details'!$A$5:$A$563,A87)</f>
        <v>1</v>
      </c>
      <c r="C87" s="11">
        <f>SUMIF('Bill Details'!$A$5:$A$563,A87,'Bill Details'!$D$5:$D$563)</f>
        <v>2250</v>
      </c>
      <c r="D87" s="14" t="e">
        <f ca="1">_xludf.MINIFS('Bill Details'!$E$5:$E$563,'Bill Details'!$A$5:$A$563,A87)</f>
        <v>#NAME?</v>
      </c>
      <c r="E87" s="8" t="e">
        <f ca="1">_xludf.MAXIFS('Bill Details'!$F$5:$F$563,'Bill Details'!$A$5:$A$563,A87)</f>
        <v>#NAME?</v>
      </c>
    </row>
    <row r="88" spans="1:5">
      <c r="A88" s="8" t="s">
        <v>91</v>
      </c>
      <c r="B88" s="8">
        <f>COUNTIF('Bill Details'!$A$5:$A$563,A88)</f>
        <v>1</v>
      </c>
      <c r="C88" s="11">
        <f>SUMIF('Bill Details'!$A$5:$A$563,A88,'Bill Details'!$D$5:$D$563)</f>
        <v>2545</v>
      </c>
      <c r="D88" s="14" t="e">
        <f ca="1">_xludf.MINIFS('Bill Details'!$E$5:$E$563,'Bill Details'!$A$5:$A$563,A88)</f>
        <v>#NAME?</v>
      </c>
      <c r="E88" s="8" t="e">
        <f ca="1">_xludf.MAXIFS('Bill Details'!$F$5:$F$563,'Bill Details'!$A$5:$A$563,A88)</f>
        <v>#NAME?</v>
      </c>
    </row>
    <row r="89" spans="1:5">
      <c r="A89" s="8" t="s">
        <v>92</v>
      </c>
      <c r="B89" s="8">
        <f>COUNTIF('Bill Details'!$A$5:$A$563,A89)</f>
        <v>15</v>
      </c>
      <c r="C89" s="11">
        <f>SUMIF('Bill Details'!$A$5:$A$563,A89,'Bill Details'!$D$5:$D$563)</f>
        <v>58985</v>
      </c>
      <c r="D89" s="14" t="e">
        <f ca="1">_xludf.MINIFS('Bill Details'!$E$5:$E$563,'Bill Details'!$A$5:$A$563,A89)</f>
        <v>#NAME?</v>
      </c>
      <c r="E89" s="8" t="e">
        <f ca="1">_xludf.MAXIFS('Bill Details'!$F$5:$F$563,'Bill Details'!$A$5:$A$563,A89)</f>
        <v>#NAME?</v>
      </c>
    </row>
    <row r="90" spans="1:5">
      <c r="A90" s="8" t="s">
        <v>93</v>
      </c>
      <c r="B90" s="8">
        <f>COUNTIF('Bill Details'!$A$5:$A$563,A90)</f>
        <v>1</v>
      </c>
      <c r="C90" s="11">
        <f>SUMIF('Bill Details'!$A$5:$A$563,A90,'Bill Details'!$D$5:$D$563)</f>
        <v>3300</v>
      </c>
      <c r="D90" s="14" t="e">
        <f ca="1">_xludf.MINIFS('Bill Details'!$E$5:$E$563,'Bill Details'!$A$5:$A$563,A90)</f>
        <v>#NAME?</v>
      </c>
      <c r="E90" s="8" t="e">
        <f ca="1">_xludf.MAXIFS('Bill Details'!$F$5:$F$563,'Bill Details'!$A$5:$A$563,A90)</f>
        <v>#NAME?</v>
      </c>
    </row>
    <row r="91" spans="1:5">
      <c r="A91" s="8" t="s">
        <v>94</v>
      </c>
      <c r="B91" s="8">
        <f>COUNTIF('Bill Details'!$A$5:$A$563,A91)</f>
        <v>1</v>
      </c>
      <c r="C91" s="11">
        <f>SUMIF('Bill Details'!$A$5:$A$563,A91,'Bill Details'!$D$5:$D$563)</f>
        <v>5886</v>
      </c>
      <c r="D91" s="14" t="e">
        <f ca="1">_xludf.MINIFS('Bill Details'!$E$5:$E$563,'Bill Details'!$A$5:$A$563,A91)</f>
        <v>#NAME?</v>
      </c>
      <c r="E91" s="8" t="e">
        <f ca="1">_xludf.MAXIFS('Bill Details'!$F$5:$F$563,'Bill Details'!$A$5:$A$563,A91)</f>
        <v>#NAME?</v>
      </c>
    </row>
    <row r="92" spans="1:5">
      <c r="A92" s="8" t="s">
        <v>95</v>
      </c>
      <c r="B92" s="8">
        <f>COUNTIF('Bill Details'!$A$5:$A$563,A92)</f>
        <v>10</v>
      </c>
      <c r="C92" s="11">
        <f>SUMIF('Bill Details'!$A$5:$A$563,A92,'Bill Details'!$D$5:$D$563)</f>
        <v>77473</v>
      </c>
      <c r="D92" s="14" t="e">
        <f ca="1">_xludf.MINIFS('Bill Details'!$E$5:$E$563,'Bill Details'!$A$5:$A$563,A92)</f>
        <v>#NAME?</v>
      </c>
      <c r="E92" s="8" t="e">
        <f ca="1">_xludf.MAXIFS('Bill Details'!$F$5:$F$563,'Bill Details'!$A$5:$A$563,A92)</f>
        <v>#NAME?</v>
      </c>
    </row>
    <row r="93" spans="1:5">
      <c r="A93" s="8" t="s">
        <v>96</v>
      </c>
      <c r="B93" s="8">
        <f>COUNTIF('Bill Details'!$A$5:$A$563,A93)</f>
        <v>1</v>
      </c>
      <c r="C93" s="11">
        <f>SUMIF('Bill Details'!$A$5:$A$563,A93,'Bill Details'!$D$5:$D$563)</f>
        <v>3793</v>
      </c>
      <c r="D93" s="14" t="e">
        <f ca="1">_xludf.MINIFS('Bill Details'!$E$5:$E$563,'Bill Details'!$A$5:$A$563,A93)</f>
        <v>#NAME?</v>
      </c>
      <c r="E93" s="8" t="e">
        <f ca="1">_xludf.MAXIFS('Bill Details'!$F$5:$F$563,'Bill Details'!$A$5:$A$563,A93)</f>
        <v>#NAME?</v>
      </c>
    </row>
    <row r="94" spans="1:5">
      <c r="A94" s="8" t="s">
        <v>97</v>
      </c>
      <c r="B94" s="8">
        <f>COUNTIF('Bill Details'!$A$5:$A$563,A94)</f>
        <v>12</v>
      </c>
      <c r="C94" s="11">
        <f>SUMIF('Bill Details'!$A$5:$A$563,A94,'Bill Details'!$D$5:$D$563)</f>
        <v>22276</v>
      </c>
      <c r="D94" s="14" t="e">
        <f ca="1">_xludf.MINIFS('Bill Details'!$E$5:$E$563,'Bill Details'!$A$5:$A$563,A94)</f>
        <v>#NAME?</v>
      </c>
      <c r="E94" s="8" t="e">
        <f ca="1">_xludf.MAXIFS('Bill Details'!$F$5:$F$563,'Bill Details'!$A$5:$A$563,A94)</f>
        <v>#NAME?</v>
      </c>
    </row>
    <row r="95" spans="1:5">
      <c r="A95" s="8" t="s">
        <v>98</v>
      </c>
      <c r="B95" s="8">
        <f>COUNTIF('Bill Details'!$A$5:$A$563,A95)</f>
        <v>2</v>
      </c>
      <c r="C95" s="11">
        <f>SUMIF('Bill Details'!$A$5:$A$563,A95,'Bill Details'!$D$5:$D$563)</f>
        <v>4700</v>
      </c>
      <c r="D95" s="14" t="e">
        <f ca="1">_xludf.MINIFS('Bill Details'!$E$5:$E$563,'Bill Details'!$A$5:$A$563,A95)</f>
        <v>#NAME?</v>
      </c>
      <c r="E95" s="8" t="e">
        <f ca="1">_xludf.MAXIFS('Bill Details'!$F$5:$F$563,'Bill Details'!$A$5:$A$563,A95)</f>
        <v>#NAME?</v>
      </c>
    </row>
    <row r="96" spans="1:5">
      <c r="A96" s="8" t="s">
        <v>99</v>
      </c>
      <c r="B96" s="8">
        <f>COUNTIF('Bill Details'!$A$5:$A$563,A96)</f>
        <v>1</v>
      </c>
      <c r="C96" s="11">
        <f>SUMIF('Bill Details'!$A$5:$A$563,A96,'Bill Details'!$D$5:$D$563)</f>
        <v>1040</v>
      </c>
      <c r="D96" s="14" t="e">
        <f ca="1">_xludf.MINIFS('Bill Details'!$E$5:$E$563,'Bill Details'!$A$5:$A$563,A96)</f>
        <v>#NAME?</v>
      </c>
      <c r="E96" s="8" t="e">
        <f ca="1">_xludf.MAXIFS('Bill Details'!$F$5:$F$563,'Bill Details'!$A$5:$A$563,A96)</f>
        <v>#NAME?</v>
      </c>
    </row>
    <row r="97" spans="1:5">
      <c r="A97" s="8" t="s">
        <v>100</v>
      </c>
      <c r="B97" s="8">
        <f>COUNTIF('Bill Details'!$A$5:$A$563,A97)</f>
        <v>10</v>
      </c>
      <c r="C97" s="11">
        <f>SUMIF('Bill Details'!$A$5:$A$563,A97,'Bill Details'!$D$5:$D$563)</f>
        <v>61020</v>
      </c>
      <c r="D97" s="14" t="e">
        <f ca="1">_xludf.MINIFS('Bill Details'!$E$5:$E$563,'Bill Details'!$A$5:$A$563,A97)</f>
        <v>#NAME?</v>
      </c>
      <c r="E97" s="8" t="e">
        <f ca="1">_xludf.MAXIFS('Bill Details'!$F$5:$F$563,'Bill Details'!$A$5:$A$563,A97)</f>
        <v>#NAME?</v>
      </c>
    </row>
    <row r="98" spans="1:5">
      <c r="A98" s="8" t="s">
        <v>101</v>
      </c>
      <c r="B98" s="8">
        <f>COUNTIF('Bill Details'!$A$5:$A$563,A98)</f>
        <v>5</v>
      </c>
      <c r="C98" s="11">
        <f>SUMIF('Bill Details'!$A$5:$A$563,A98,'Bill Details'!$D$5:$D$563)</f>
        <v>11900</v>
      </c>
      <c r="D98" s="14" t="e">
        <f ca="1">_xludf.MINIFS('Bill Details'!$E$5:$E$563,'Bill Details'!$A$5:$A$563,A98)</f>
        <v>#NAME?</v>
      </c>
      <c r="E98" s="8" t="e">
        <f ca="1">_xludf.MAXIFS('Bill Details'!$F$5:$F$563,'Bill Details'!$A$5:$A$563,A98)</f>
        <v>#NAME?</v>
      </c>
    </row>
    <row r="99" spans="1:5">
      <c r="A99" s="8" t="s">
        <v>102</v>
      </c>
      <c r="B99" s="8">
        <f>COUNTIF('Bill Details'!$A$5:$A$563,A99)</f>
        <v>1</v>
      </c>
      <c r="C99" s="11">
        <f>SUMIF('Bill Details'!$A$5:$A$563,A99,'Bill Details'!$D$5:$D$563)</f>
        <v>8000</v>
      </c>
      <c r="D99" s="14" t="e">
        <f ca="1">_xludf.MINIFS('Bill Details'!$E$5:$E$563,'Bill Details'!$A$5:$A$563,A99)</f>
        <v>#NAME?</v>
      </c>
      <c r="E99" s="8" t="e">
        <f ca="1">_xludf.MAXIFS('Bill Details'!$F$5:$F$563,'Bill Details'!$A$5:$A$563,A99)</f>
        <v>#NAME?</v>
      </c>
    </row>
    <row r="100" spans="1:5">
      <c r="A100" s="8" t="s">
        <v>103</v>
      </c>
      <c r="B100" s="8">
        <f>COUNTIF('Bill Details'!$A$5:$A$563,A100)</f>
        <v>1</v>
      </c>
      <c r="C100" s="11">
        <f>SUMIF('Bill Details'!$A$5:$A$563,A100,'Bill Details'!$D$5:$D$563)</f>
        <v>5403</v>
      </c>
      <c r="D100" s="14" t="e">
        <f ca="1">_xludf.MINIFS('Bill Details'!$E$5:$E$563,'Bill Details'!$A$5:$A$563,A100)</f>
        <v>#NAME?</v>
      </c>
      <c r="E100" s="8" t="e">
        <f ca="1">_xludf.MAXIFS('Bill Details'!$F$5:$F$563,'Bill Details'!$A$5:$A$563,A100)</f>
        <v>#NAME?</v>
      </c>
    </row>
    <row r="101" spans="1:5">
      <c r="A101" s="8" t="s">
        <v>104</v>
      </c>
      <c r="B101" s="8">
        <f>COUNTIF('Bill Details'!$A$5:$A$563,A101)</f>
        <v>2</v>
      </c>
      <c r="C101" s="11">
        <f>SUMIF('Bill Details'!$A$5:$A$563,A101,'Bill Details'!$D$5:$D$563)</f>
        <v>1659</v>
      </c>
      <c r="D101" s="14" t="e">
        <f ca="1">_xludf.MINIFS('Bill Details'!$E$5:$E$563,'Bill Details'!$A$5:$A$563,A101)</f>
        <v>#NAME?</v>
      </c>
      <c r="E101" s="8" t="e">
        <f ca="1">_xludf.MAXIFS('Bill Details'!$F$5:$F$563,'Bill Details'!$A$5:$A$563,A101)</f>
        <v>#NAME?</v>
      </c>
    </row>
    <row r="102" spans="1:5">
      <c r="A102" s="8" t="s">
        <v>105</v>
      </c>
      <c r="B102" s="8">
        <f>COUNTIF('Bill Details'!$A$5:$A$563,A102)</f>
        <v>2</v>
      </c>
      <c r="C102" s="11">
        <f>SUMIF('Bill Details'!$A$5:$A$563,A102,'Bill Details'!$D$5:$D$563)</f>
        <v>12444</v>
      </c>
      <c r="D102" s="14" t="e">
        <f ca="1">_xludf.MINIFS('Bill Details'!$E$5:$E$563,'Bill Details'!$A$5:$A$563,A102)</f>
        <v>#NAME?</v>
      </c>
      <c r="E102" s="8" t="e">
        <f ca="1">_xludf.MAXIFS('Bill Details'!$F$5:$F$563,'Bill Details'!$A$5:$A$563,A102)</f>
        <v>#NAME?</v>
      </c>
    </row>
    <row r="103" spans="1:5">
      <c r="A103" s="8" t="s">
        <v>106</v>
      </c>
      <c r="B103" s="8">
        <f>COUNTIF('Bill Details'!$A$5:$A$563,A103)</f>
        <v>4</v>
      </c>
      <c r="C103" s="11">
        <f>SUMIF('Bill Details'!$A$5:$A$563,A103,'Bill Details'!$D$5:$D$563)</f>
        <v>16423</v>
      </c>
      <c r="D103" s="14" t="e">
        <f ca="1">_xludf.MINIFS('Bill Details'!$E$5:$E$563,'Bill Details'!$A$5:$A$563,A103)</f>
        <v>#NAME?</v>
      </c>
      <c r="E103" s="8" t="e">
        <f ca="1">_xludf.MAXIFS('Bill Details'!$F$5:$F$563,'Bill Details'!$A$5:$A$563,A103)</f>
        <v>#NAME?</v>
      </c>
    </row>
    <row r="104" spans="1:5">
      <c r="A104" s="8" t="s">
        <v>107</v>
      </c>
      <c r="B104" s="8">
        <f>COUNTIF('Bill Details'!$A$5:$A$563,A104)</f>
        <v>8</v>
      </c>
      <c r="C104" s="11">
        <f>SUMIF('Bill Details'!$A$5:$A$563,A104,'Bill Details'!$D$5:$D$563)</f>
        <v>23709</v>
      </c>
      <c r="D104" s="14" t="e">
        <f ca="1">_xludf.MINIFS('Bill Details'!$E$5:$E$563,'Bill Details'!$A$5:$A$563,A104)</f>
        <v>#NAME?</v>
      </c>
      <c r="E104" s="8" t="e">
        <f ca="1">_xludf.MAXIFS('Bill Details'!$F$5:$F$563,'Bill Details'!$A$5:$A$563,A104)</f>
        <v>#NAME?</v>
      </c>
    </row>
    <row r="105" spans="1:5">
      <c r="A105" s="8" t="s">
        <v>108</v>
      </c>
      <c r="B105" s="8">
        <f>COUNTIF('Bill Details'!$A$5:$A$563,A105)</f>
        <v>1</v>
      </c>
      <c r="C105" s="11">
        <f>SUMIF('Bill Details'!$A$5:$A$563,A105,'Bill Details'!$D$5:$D$563)</f>
        <v>7800</v>
      </c>
      <c r="D105" s="14" t="e">
        <f ca="1">_xludf.MINIFS('Bill Details'!$E$5:$E$563,'Bill Details'!$A$5:$A$563,A105)</f>
        <v>#NAME?</v>
      </c>
      <c r="E105" s="8" t="e">
        <f ca="1">_xludf.MAXIFS('Bill Details'!$F$5:$F$563,'Bill Details'!$A$5:$A$563,A105)</f>
        <v>#NAME?</v>
      </c>
    </row>
    <row r="106" spans="1:5">
      <c r="A106" s="8" t="s">
        <v>109</v>
      </c>
      <c r="B106" s="8">
        <f>COUNTIF('Bill Details'!$A$5:$A$563,A106)</f>
        <v>1</v>
      </c>
      <c r="C106" s="11">
        <f>SUMIF('Bill Details'!$A$5:$A$563,A106,'Bill Details'!$D$5:$D$563)</f>
        <v>7775</v>
      </c>
      <c r="D106" s="14" t="e">
        <f ca="1">_xludf.MINIFS('Bill Details'!$E$5:$E$563,'Bill Details'!$A$5:$A$563,A106)</f>
        <v>#NAME?</v>
      </c>
      <c r="E106" s="8" t="e">
        <f ca="1">_xludf.MAXIFS('Bill Details'!$F$5:$F$563,'Bill Details'!$A$5:$A$563,A106)</f>
        <v>#NAME?</v>
      </c>
    </row>
    <row r="107" spans="1:5">
      <c r="A107" s="8" t="s">
        <v>110</v>
      </c>
      <c r="B107" s="8">
        <f>COUNTIF('Bill Details'!$A$5:$A$563,A107)</f>
        <v>5</v>
      </c>
      <c r="C107" s="11">
        <f>SUMIF('Bill Details'!$A$5:$A$563,A107,'Bill Details'!$D$5:$D$563)</f>
        <v>8878</v>
      </c>
      <c r="D107" s="14" t="e">
        <f ca="1">_xludf.MINIFS('Bill Details'!$E$5:$E$563,'Bill Details'!$A$5:$A$563,A107)</f>
        <v>#NAME?</v>
      </c>
      <c r="E107" s="8" t="e">
        <f ca="1">_xludf.MAXIFS('Bill Details'!$F$5:$F$563,'Bill Details'!$A$5:$A$563,A107)</f>
        <v>#NAME?</v>
      </c>
    </row>
    <row r="108" spans="1:5">
      <c r="A108" s="8" t="s">
        <v>111</v>
      </c>
      <c r="B108" s="8">
        <f>COUNTIF('Bill Details'!$A$5:$A$563,A108)</f>
        <v>1</v>
      </c>
      <c r="C108" s="11">
        <f>SUMIF('Bill Details'!$A$5:$A$563,A108,'Bill Details'!$D$5:$D$563)</f>
        <v>2880</v>
      </c>
      <c r="D108" s="14" t="e">
        <f ca="1">_xludf.MINIFS('Bill Details'!$E$5:$E$563,'Bill Details'!$A$5:$A$563,A108)</f>
        <v>#NAME?</v>
      </c>
      <c r="E108" s="8" t="e">
        <f ca="1">_xludf.MAXIFS('Bill Details'!$F$5:$F$563,'Bill Details'!$A$5:$A$563,A108)</f>
        <v>#NAME?</v>
      </c>
    </row>
    <row r="109" spans="1:5">
      <c r="A109" s="8" t="s">
        <v>112</v>
      </c>
      <c r="B109" s="8">
        <f>COUNTIF('Bill Details'!$A$5:$A$563,A109)</f>
        <v>1</v>
      </c>
      <c r="C109" s="11">
        <f>SUMIF('Bill Details'!$A$5:$A$563,A109,'Bill Details'!$D$5:$D$563)</f>
        <v>600</v>
      </c>
      <c r="D109" s="14" t="e">
        <f ca="1">_xludf.MINIFS('Bill Details'!$E$5:$E$563,'Bill Details'!$A$5:$A$563,A109)</f>
        <v>#NAME?</v>
      </c>
      <c r="E109" s="8" t="e">
        <f ca="1">_xludf.MAXIFS('Bill Details'!$F$5:$F$563,'Bill Details'!$A$5:$A$563,A109)</f>
        <v>#NAME?</v>
      </c>
    </row>
    <row r="110" spans="1:5">
      <c r="A110" s="8" t="s">
        <v>113</v>
      </c>
      <c r="B110" s="8">
        <f>COUNTIF('Bill Details'!$A$5:$A$563,A110)</f>
        <v>1</v>
      </c>
      <c r="C110" s="11">
        <f>SUMIF('Bill Details'!$A$5:$A$563,A110,'Bill Details'!$D$5:$D$563)</f>
        <v>19057</v>
      </c>
      <c r="D110" s="14" t="e">
        <f ca="1">_xludf.MINIFS('Bill Details'!$E$5:$E$563,'Bill Details'!$A$5:$A$563,A110)</f>
        <v>#NAME?</v>
      </c>
      <c r="E110" s="8" t="e">
        <f ca="1">_xludf.MAXIFS('Bill Details'!$F$5:$F$563,'Bill Details'!$A$5:$A$563,A110)</f>
        <v>#NAME?</v>
      </c>
    </row>
    <row r="111" spans="1:5">
      <c r="A111" s="8" t="s">
        <v>114</v>
      </c>
      <c r="B111" s="8">
        <f>COUNTIF('Bill Details'!$A$5:$A$563,A111)</f>
        <v>10</v>
      </c>
      <c r="C111" s="11">
        <f>SUMIF('Bill Details'!$A$5:$A$563,A111,'Bill Details'!$D$5:$D$563)</f>
        <v>14037</v>
      </c>
      <c r="D111" s="14" t="e">
        <f ca="1">_xludf.MINIFS('Bill Details'!$E$5:$E$563,'Bill Details'!$A$5:$A$563,A111)</f>
        <v>#NAME?</v>
      </c>
      <c r="E111" s="8" t="e">
        <f ca="1">_xludf.MAXIFS('Bill Details'!$F$5:$F$563,'Bill Details'!$A$5:$A$563,A111)</f>
        <v>#NAME?</v>
      </c>
    </row>
    <row r="112" spans="1:5">
      <c r="A112" s="8" t="s">
        <v>115</v>
      </c>
      <c r="B112" s="8">
        <f>COUNTIF('Bill Details'!$A$5:$A$563,A112)</f>
        <v>2</v>
      </c>
      <c r="C112" s="11">
        <f>SUMIF('Bill Details'!$A$5:$A$563,A112,'Bill Details'!$D$5:$D$563)</f>
        <v>594</v>
      </c>
      <c r="D112" s="14" t="e">
        <f ca="1">_xludf.MINIFS('Bill Details'!$E$5:$E$563,'Bill Details'!$A$5:$A$563,A112)</f>
        <v>#NAME?</v>
      </c>
      <c r="E112" s="8" t="e">
        <f ca="1">_xludf.MAXIFS('Bill Details'!$F$5:$F$563,'Bill Details'!$A$5:$A$563,A112)</f>
        <v>#NAME?</v>
      </c>
    </row>
    <row r="113" spans="1:5">
      <c r="A113" s="8" t="s">
        <v>116</v>
      </c>
      <c r="B113" s="8">
        <f>COUNTIF('Bill Details'!$A$5:$A$563,A113)</f>
        <v>2</v>
      </c>
      <c r="C113" s="11">
        <f>SUMIF('Bill Details'!$A$5:$A$563,A113,'Bill Details'!$D$5:$D$563)</f>
        <v>2092</v>
      </c>
      <c r="D113" s="14" t="e">
        <f ca="1">_xludf.MINIFS('Bill Details'!$E$5:$E$563,'Bill Details'!$A$5:$A$563,A113)</f>
        <v>#NAME?</v>
      </c>
      <c r="E113" s="8" t="e">
        <f ca="1">_xludf.MAXIFS('Bill Details'!$F$5:$F$563,'Bill Details'!$A$5:$A$563,A113)</f>
        <v>#NAME?</v>
      </c>
    </row>
    <row r="114" spans="1:5">
      <c r="A114" s="8" t="s">
        <v>117</v>
      </c>
      <c r="B114" s="8">
        <f>COUNTIF('Bill Details'!$A$5:$A$563,A114)</f>
        <v>1</v>
      </c>
      <c r="C114" s="11">
        <f>SUMIF('Bill Details'!$A$5:$A$563,A114,'Bill Details'!$D$5:$D$563)</f>
        <v>23100</v>
      </c>
      <c r="D114" s="14" t="e">
        <f ca="1">_xludf.MINIFS('Bill Details'!$E$5:$E$563,'Bill Details'!$A$5:$A$563,A114)</f>
        <v>#NAME?</v>
      </c>
      <c r="E114" s="8" t="e">
        <f ca="1">_xludf.MAXIFS('Bill Details'!$F$5:$F$563,'Bill Details'!$A$5:$A$563,A114)</f>
        <v>#NAME?</v>
      </c>
    </row>
    <row r="115" spans="1:5">
      <c r="A115" s="8" t="s">
        <v>118</v>
      </c>
      <c r="B115" s="8">
        <f>COUNTIF('Bill Details'!$A$5:$A$563,A115)</f>
        <v>25</v>
      </c>
      <c r="C115" s="11">
        <f>SUMIF('Bill Details'!$A$5:$A$563,A115,'Bill Details'!$D$5:$D$563)</f>
        <v>158534</v>
      </c>
      <c r="D115" s="14" t="e">
        <f ca="1">_xludf.MINIFS('Bill Details'!$E$5:$E$563,'Bill Details'!$A$5:$A$563,A115)</f>
        <v>#NAME?</v>
      </c>
      <c r="E115" s="8" t="e">
        <f ca="1">_xludf.MAXIFS('Bill Details'!$F$5:$F$563,'Bill Details'!$A$5:$A$563,A115)</f>
        <v>#NAME?</v>
      </c>
    </row>
    <row r="116" spans="1:5">
      <c r="A116" s="8" t="s">
        <v>119</v>
      </c>
      <c r="B116" s="8">
        <f>COUNTIF('Bill Details'!$A$5:$A$563,A116)</f>
        <v>1</v>
      </c>
      <c r="C116" s="11">
        <f>SUMIF('Bill Details'!$A$5:$A$563,A116,'Bill Details'!$D$5:$D$563)</f>
        <v>7080</v>
      </c>
      <c r="D116" s="14" t="e">
        <f ca="1">_xludf.MINIFS('Bill Details'!$E$5:$E$563,'Bill Details'!$A$5:$A$563,A116)</f>
        <v>#NAME?</v>
      </c>
      <c r="E116" s="8" t="e">
        <f ca="1">_xludf.MAXIFS('Bill Details'!$F$5:$F$563,'Bill Details'!$A$5:$A$563,A116)</f>
        <v>#NAME?</v>
      </c>
    </row>
    <row r="117" spans="1:5">
      <c r="A117" s="8" t="s">
        <v>120</v>
      </c>
      <c r="B117" s="8">
        <f>COUNTIF('Bill Details'!$A$5:$A$563,A117)</f>
        <v>24</v>
      </c>
      <c r="C117" s="11">
        <f>SUMIF('Bill Details'!$A$5:$A$563,A117,'Bill Details'!$D$5:$D$563)</f>
        <v>109542</v>
      </c>
      <c r="D117" s="14" t="e">
        <f ca="1">_xludf.MINIFS('Bill Details'!$E$5:$E$563,'Bill Details'!$A$5:$A$563,A117)</f>
        <v>#NAME?</v>
      </c>
      <c r="E117" s="8" t="e">
        <f ca="1">_xludf.MAXIFS('Bill Details'!$F$5:$F$563,'Bill Details'!$A$5:$A$563,A117)</f>
        <v>#NAME?</v>
      </c>
    </row>
    <row r="118" spans="1:5">
      <c r="A118" s="8" t="s">
        <v>121</v>
      </c>
      <c r="B118" s="8">
        <f>COUNTIF('Bill Details'!$A$5:$A$563,A118)</f>
        <v>1</v>
      </c>
      <c r="C118" s="11">
        <f>SUMIF('Bill Details'!$A$5:$A$563,A118,'Bill Details'!$D$5:$D$563)</f>
        <v>4500</v>
      </c>
      <c r="D118" s="14" t="e">
        <f ca="1">_xludf.MINIFS('Bill Details'!$E$5:$E$563,'Bill Details'!$A$5:$A$563,A118)</f>
        <v>#NAME?</v>
      </c>
      <c r="E118" s="8" t="e">
        <f ca="1">_xludf.MAXIFS('Bill Details'!$F$5:$F$563,'Bill Details'!$A$5:$A$563,A118)</f>
        <v>#NAME?</v>
      </c>
    </row>
    <row r="119" spans="1:5">
      <c r="A119" s="8" t="s">
        <v>122</v>
      </c>
      <c r="B119" s="8">
        <f>COUNTIF('Bill Details'!$A$5:$A$563,A119)</f>
        <v>5</v>
      </c>
      <c r="C119" s="11">
        <f>SUMIF('Bill Details'!$A$5:$A$563,A119,'Bill Details'!$D$5:$D$563)</f>
        <v>22615</v>
      </c>
      <c r="D119" s="14" t="e">
        <f ca="1">_xludf.MINIFS('Bill Details'!$E$5:$E$563,'Bill Details'!$A$5:$A$563,A119)</f>
        <v>#NAME?</v>
      </c>
      <c r="E119" s="8" t="e">
        <f ca="1">_xludf.MAXIFS('Bill Details'!$F$5:$F$563,'Bill Details'!$A$5:$A$563,A119)</f>
        <v>#NAME?</v>
      </c>
    </row>
    <row r="120" spans="1:5">
      <c r="A120" s="8" t="s">
        <v>123</v>
      </c>
      <c r="B120" s="8">
        <f>COUNTIF('Bill Details'!$A$5:$A$563,A120)</f>
        <v>1</v>
      </c>
      <c r="C120" s="11">
        <f>SUMIF('Bill Details'!$A$5:$A$563,A120,'Bill Details'!$D$5:$D$563)</f>
        <v>2360</v>
      </c>
      <c r="D120" s="14" t="e">
        <f ca="1">_xludf.MINIFS('Bill Details'!$E$5:$E$563,'Bill Details'!$A$5:$A$563,A120)</f>
        <v>#NAME?</v>
      </c>
      <c r="E120" s="8" t="e">
        <f ca="1">_xludf.MAXIFS('Bill Details'!$F$5:$F$563,'Bill Details'!$A$5:$A$563,A120)</f>
        <v>#NAME?</v>
      </c>
    </row>
    <row r="121" spans="1:5">
      <c r="A121" s="8" t="s">
        <v>124</v>
      </c>
      <c r="B121" s="8">
        <f>COUNTIF('Bill Details'!$A$5:$A$563,A121)</f>
        <v>1</v>
      </c>
      <c r="C121" s="11">
        <f>SUMIF('Bill Details'!$A$5:$A$563,A121,'Bill Details'!$D$5:$D$563)</f>
        <v>4650</v>
      </c>
      <c r="D121" s="14" t="e">
        <f ca="1">_xludf.MINIFS('Bill Details'!$E$5:$E$563,'Bill Details'!$A$5:$A$563,A121)</f>
        <v>#NAME?</v>
      </c>
      <c r="E121" s="8" t="e">
        <f ca="1">_xludf.MAXIFS('Bill Details'!$F$5:$F$563,'Bill Details'!$A$5:$A$563,A121)</f>
        <v>#NAME?</v>
      </c>
    </row>
    <row r="122" spans="1:5">
      <c r="A122" s="8" t="s">
        <v>125</v>
      </c>
      <c r="B122" s="8">
        <f>COUNTIF('Bill Details'!$A$5:$A$563,A122)</f>
        <v>1</v>
      </c>
      <c r="C122" s="11">
        <f>SUMIF('Bill Details'!$A$5:$A$563,A122,'Bill Details'!$D$5:$D$563)</f>
        <v>43881</v>
      </c>
      <c r="D122" s="14" t="e">
        <f ca="1">_xludf.MINIFS('Bill Details'!$E$5:$E$563,'Bill Details'!$A$5:$A$563,A122)</f>
        <v>#NAME?</v>
      </c>
      <c r="E122" s="8" t="e">
        <f ca="1">_xludf.MAXIFS('Bill Details'!$F$5:$F$563,'Bill Details'!$A$5:$A$563,A122)</f>
        <v>#NAME?</v>
      </c>
    </row>
    <row r="123" spans="1:5">
      <c r="A123" s="8" t="s">
        <v>126</v>
      </c>
      <c r="B123" s="8">
        <f>COUNTIF('Bill Details'!$A$5:$A$563,A123)</f>
        <v>7</v>
      </c>
      <c r="C123" s="11">
        <f>SUMIF('Bill Details'!$A$5:$A$563,A123,'Bill Details'!$D$5:$D$563)</f>
        <v>19046</v>
      </c>
      <c r="D123" s="14" t="e">
        <f ca="1">_xludf.MINIFS('Bill Details'!$E$5:$E$563,'Bill Details'!$A$5:$A$563,A123)</f>
        <v>#NAME?</v>
      </c>
      <c r="E123" s="8" t="e">
        <f ca="1">_xludf.MAXIFS('Bill Details'!$F$5:$F$563,'Bill Details'!$A$5:$A$563,A123)</f>
        <v>#NAME?</v>
      </c>
    </row>
    <row r="124" spans="1:5">
      <c r="A124" s="8" t="s">
        <v>127</v>
      </c>
      <c r="B124" s="8">
        <f>COUNTIF('Bill Details'!$A$5:$A$563,A124)</f>
        <v>3</v>
      </c>
      <c r="C124" s="11">
        <f>SUMIF('Bill Details'!$A$5:$A$563,A124,'Bill Details'!$D$5:$D$563)</f>
        <v>7480</v>
      </c>
      <c r="D124" s="14" t="e">
        <f ca="1">_xludf.MINIFS('Bill Details'!$E$5:$E$563,'Bill Details'!$A$5:$A$563,A124)</f>
        <v>#NAME?</v>
      </c>
      <c r="E124" s="8" t="e">
        <f ca="1">_xludf.MAXIFS('Bill Details'!$F$5:$F$563,'Bill Details'!$A$5:$A$563,A124)</f>
        <v>#NAME?</v>
      </c>
    </row>
    <row r="125" spans="1:5">
      <c r="A125" s="8" t="s">
        <v>128</v>
      </c>
      <c r="B125" s="8">
        <f>COUNTIF('Bill Details'!$A$5:$A$563,A125)</f>
        <v>6</v>
      </c>
      <c r="C125" s="11">
        <f>SUMIF('Bill Details'!$A$5:$A$563,A125,'Bill Details'!$D$5:$D$563)</f>
        <v>29138</v>
      </c>
      <c r="D125" s="14" t="e">
        <f ca="1">_xludf.MINIFS('Bill Details'!$E$5:$E$563,'Bill Details'!$A$5:$A$563,A125)</f>
        <v>#NAME?</v>
      </c>
      <c r="E125" s="8" t="e">
        <f ca="1">_xludf.MAXIFS('Bill Details'!$F$5:$F$563,'Bill Details'!$A$5:$A$563,A125)</f>
        <v>#NAME?</v>
      </c>
    </row>
    <row r="126" spans="1:5">
      <c r="A126" s="8" t="s">
        <v>129</v>
      </c>
      <c r="B126" s="8">
        <f>COUNTIF('Bill Details'!$A$5:$A$563,A126)</f>
        <v>16</v>
      </c>
      <c r="C126" s="11">
        <f>SUMIF('Bill Details'!$A$5:$A$563,A126,'Bill Details'!$D$5:$D$563)</f>
        <v>68445</v>
      </c>
      <c r="D126" s="14" t="e">
        <f ca="1">_xludf.MINIFS('Bill Details'!$E$5:$E$563,'Bill Details'!$A$5:$A$563,A126)</f>
        <v>#NAME?</v>
      </c>
      <c r="E126" s="8" t="e">
        <f ca="1">_xludf.MAXIFS('Bill Details'!$F$5:$F$563,'Bill Details'!$A$5:$A$563,A126)</f>
        <v>#NAME?</v>
      </c>
    </row>
    <row r="127" spans="1:5">
      <c r="A127" s="8" t="s">
        <v>130</v>
      </c>
      <c r="B127" s="8">
        <f>COUNTIF('Bill Details'!$A$5:$A$563,A127)</f>
        <v>2</v>
      </c>
      <c r="C127" s="11">
        <f>SUMIF('Bill Details'!$A$5:$A$563,A127,'Bill Details'!$D$5:$D$563)</f>
        <v>23173</v>
      </c>
      <c r="D127" s="14" t="e">
        <f ca="1">_xludf.MINIFS('Bill Details'!$E$5:$E$563,'Bill Details'!$A$5:$A$563,A127)</f>
        <v>#NAME?</v>
      </c>
      <c r="E127" s="8" t="e">
        <f ca="1">_xludf.MAXIFS('Bill Details'!$F$5:$F$563,'Bill Details'!$A$5:$A$563,A127)</f>
        <v>#NAME?</v>
      </c>
    </row>
    <row r="128" spans="1:5">
      <c r="A128" s="8" t="s">
        <v>131</v>
      </c>
      <c r="B128" s="8">
        <f>COUNTIF('Bill Details'!$A$5:$A$563,A128)</f>
        <v>18</v>
      </c>
      <c r="C128" s="11">
        <f>SUMIF('Bill Details'!$A$5:$A$563,A128,'Bill Details'!$D$5:$D$563)</f>
        <v>86975</v>
      </c>
      <c r="D128" s="14" t="e">
        <f ca="1">_xludf.MINIFS('Bill Details'!$E$5:$E$563,'Bill Details'!$A$5:$A$563,A128)</f>
        <v>#NAME?</v>
      </c>
      <c r="E128" s="8" t="e">
        <f ca="1">_xludf.MAXIFS('Bill Details'!$F$5:$F$563,'Bill Details'!$A$5:$A$563,A128)</f>
        <v>#NAME?</v>
      </c>
    </row>
    <row r="129" spans="1:5">
      <c r="A129" s="8" t="s">
        <v>132</v>
      </c>
      <c r="B129" s="8">
        <f>COUNTIF('Bill Details'!$A$5:$A$563,A129)</f>
        <v>5</v>
      </c>
      <c r="C129" s="11">
        <f>SUMIF('Bill Details'!$A$5:$A$563,A129,'Bill Details'!$D$5:$D$563)</f>
        <v>19560</v>
      </c>
      <c r="D129" s="14" t="e">
        <f ca="1">_xludf.MINIFS('Bill Details'!$E$5:$E$563,'Bill Details'!$A$5:$A$563,A129)</f>
        <v>#NAME?</v>
      </c>
      <c r="E129" s="8" t="e">
        <f ca="1">_xludf.MAXIFS('Bill Details'!$F$5:$F$563,'Bill Details'!$A$5:$A$563,A129)</f>
        <v>#NAME?</v>
      </c>
    </row>
    <row r="130" spans="1:5">
      <c r="A130" s="8" t="s">
        <v>133</v>
      </c>
      <c r="B130" s="8">
        <f>COUNTIF('Bill Details'!$A$5:$A$563,A130)</f>
        <v>1</v>
      </c>
      <c r="C130" s="11">
        <f>SUMIF('Bill Details'!$A$5:$A$563,A130,'Bill Details'!$D$5:$D$563)</f>
        <v>1448</v>
      </c>
      <c r="D130" s="14" t="e">
        <f ca="1">_xludf.MINIFS('Bill Details'!$E$5:$E$563,'Bill Details'!$A$5:$A$563,A130)</f>
        <v>#NAME?</v>
      </c>
      <c r="E130" s="8" t="e">
        <f ca="1">_xludf.MAXIFS('Bill Details'!$F$5:$F$563,'Bill Details'!$A$5:$A$563,A130)</f>
        <v>#NAME?</v>
      </c>
    </row>
    <row r="131" spans="1:5">
      <c r="A131" s="8" t="s">
        <v>134</v>
      </c>
      <c r="B131" s="8">
        <f>COUNTIF('Bill Details'!$A$5:$A$563,A131)</f>
        <v>15</v>
      </c>
      <c r="C131" s="11">
        <f>SUMIF('Bill Details'!$A$5:$A$563,A131,'Bill Details'!$D$5:$D$563)</f>
        <v>70377</v>
      </c>
      <c r="D131" s="14" t="e">
        <f ca="1">_xludf.MINIFS('Bill Details'!$E$5:$E$563,'Bill Details'!$A$5:$A$563,A131)</f>
        <v>#NAME?</v>
      </c>
      <c r="E131" s="8" t="e">
        <f ca="1">_xludf.MAXIFS('Bill Details'!$F$5:$F$563,'Bill Details'!$A$5:$A$563,A131)</f>
        <v>#NAME?</v>
      </c>
    </row>
    <row r="132" spans="1:5">
      <c r="A132" s="8" t="s">
        <v>135</v>
      </c>
      <c r="B132" s="8">
        <f>COUNTIF('Bill Details'!$A$5:$A$563,A132)</f>
        <v>5</v>
      </c>
      <c r="C132" s="11">
        <f>SUMIF('Bill Details'!$A$5:$A$563,A132,'Bill Details'!$D$5:$D$563)</f>
        <v>44439</v>
      </c>
      <c r="D132" s="14" t="e">
        <f ca="1">_xludf.MINIFS('Bill Details'!$E$5:$E$563,'Bill Details'!$A$5:$A$563,A132)</f>
        <v>#NAME?</v>
      </c>
      <c r="E132" s="8" t="e">
        <f ca="1">_xludf.MAXIFS('Bill Details'!$F$5:$F$563,'Bill Details'!$A$5:$A$563,A132)</f>
        <v>#NAME?</v>
      </c>
    </row>
    <row r="133" spans="1:5">
      <c r="A133" s="8" t="s">
        <v>136</v>
      </c>
      <c r="B133" s="8">
        <f>COUNTIF('Bill Details'!$A$5:$A$563,A133)</f>
        <v>2</v>
      </c>
      <c r="C133" s="11">
        <f>SUMIF('Bill Details'!$A$5:$A$563,A133,'Bill Details'!$D$5:$D$563)</f>
        <v>208518</v>
      </c>
      <c r="D133" s="14" t="e">
        <f ca="1">_xludf.MINIFS('Bill Details'!$E$5:$E$563,'Bill Details'!$A$5:$A$563,A133)</f>
        <v>#NAME?</v>
      </c>
      <c r="E133" s="8" t="e">
        <f ca="1">_xludf.MAXIFS('Bill Details'!$F$5:$F$563,'Bill Details'!$A$5:$A$563,A133)</f>
        <v>#NAME?</v>
      </c>
    </row>
    <row r="134" spans="1:5">
      <c r="A134" s="9" t="s">
        <v>137</v>
      </c>
      <c r="B134" s="9">
        <f>COUNTIF('Bill Details'!$A$5:$A$563,A134)</f>
        <v>2</v>
      </c>
      <c r="C134" s="12">
        <f>SUMIF('Bill Details'!$A$5:$A$563,A134,'Bill Details'!$D$5:$D$563)</f>
        <v>13872</v>
      </c>
      <c r="D134" s="15" t="e">
        <f ca="1">_xludf.MINIFS('Bill Details'!$E$5:$E$563,'Bill Details'!$A$5:$A$563,A134)</f>
        <v>#NAME?</v>
      </c>
      <c r="E134" s="9" t="e">
        <f ca="1">_xludf.MAXIFS('Bill Details'!$F$5:$F$563,'Bill Details'!$A$5:$A$563,A134)</f>
        <v>#NAME?</v>
      </c>
    </row>
  </sheetData>
  <mergeCells count="1">
    <mergeCell ref="A1:E1"/>
  </mergeCells>
  <conditionalFormatting sqref="E6:E134">
    <cfRule type="colorScale" priority="1">
      <colorScale>
        <cfvo type="min"/>
        <cfvo type="percentile" val="50"/>
        <cfvo type="max"/>
        <color rgb="FFE2F0D9"/>
        <color rgb="FFFFE699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/>
  </sheetViews>
  <sheetFormatPr defaultRowHeight="13.8"/>
  <cols>
    <col min="1" max="1" width="28" customWidth="1"/>
    <col min="2" max="2" width="13.09765625" customWidth="1"/>
    <col min="3" max="3" width="11.19921875" customWidth="1"/>
    <col min="4" max="4" width="5.19921875" customWidth="1"/>
  </cols>
  <sheetData>
    <row r="1" spans="1:4" ht="22.8">
      <c r="A1" s="18" t="s">
        <v>707</v>
      </c>
      <c r="B1" s="18"/>
      <c r="C1" s="18"/>
      <c r="D1" s="18"/>
    </row>
    <row r="3" spans="1:4" ht="27.6">
      <c r="A3" s="4" t="s">
        <v>708</v>
      </c>
      <c r="B3" s="5" t="s">
        <v>709</v>
      </c>
      <c r="C3" s="5" t="s">
        <v>710</v>
      </c>
      <c r="D3" s="6" t="s">
        <v>711</v>
      </c>
    </row>
    <row r="4" spans="1:4">
      <c r="A4" t="s">
        <v>712</v>
      </c>
      <c r="B4" s="17">
        <f>SUM('Bill Details'!$D$5:$D$563)</f>
        <v>4114814</v>
      </c>
      <c r="C4" s="17">
        <v>4114814</v>
      </c>
      <c r="D4" t="str">
        <f>IF(B4=C4,"PASS","FAIL")</f>
        <v>PASS</v>
      </c>
    </row>
    <row r="5" spans="1:4">
      <c r="A5" t="s">
        <v>713</v>
      </c>
      <c r="B5">
        <f>COUNTA('Bill Details'!$B$5:$B$563)</f>
        <v>559</v>
      </c>
      <c r="C5">
        <v>559</v>
      </c>
      <c r="D5" t="str">
        <f>IF(B5=C5,"PASS","FAIL")</f>
        <v>PASS</v>
      </c>
    </row>
    <row r="6" spans="1:4">
      <c r="A6" t="s">
        <v>714</v>
      </c>
      <c r="B6">
        <f>COUNTA('Company Summary'!$A$6:$A$134)</f>
        <v>129</v>
      </c>
      <c r="C6">
        <v>129</v>
      </c>
      <c r="D6" t="str">
        <f>IF(B6=C6,"PASS","FAIL")</f>
        <v>PASS</v>
      </c>
    </row>
    <row r="8" spans="1:4">
      <c r="A8" s="16" t="s">
        <v>715</v>
      </c>
      <c r="B8" s="16" t="str">
        <f>IF(COUNTIF(D4:D6,"FAIL")=0,"PASS","FAIL")</f>
        <v>PASS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/>
  </sheetViews>
  <sheetFormatPr defaultRowHeight="13.8"/>
  <cols>
    <col min="1" max="1" width="114.8984375" customWidth="1"/>
    <col min="2" max="2" width="11.8984375" customWidth="1"/>
    <col min="3" max="3" width="20" customWidth="1"/>
    <col min="4" max="4" width="8.19921875" customWidth="1"/>
    <col min="5" max="5" width="58" customWidth="1"/>
  </cols>
  <sheetData>
    <row r="1" spans="1:5" ht="22.8">
      <c r="A1" s="18" t="s">
        <v>716</v>
      </c>
      <c r="B1" s="18"/>
      <c r="C1" s="18"/>
      <c r="D1" s="18"/>
      <c r="E1" s="18"/>
    </row>
    <row r="3" spans="1:5" ht="27.6">
      <c r="A3" s="4" t="s">
        <v>717</v>
      </c>
      <c r="B3" s="5" t="s">
        <v>718</v>
      </c>
      <c r="C3" s="5" t="s">
        <v>719</v>
      </c>
      <c r="D3" s="5" t="s">
        <v>720</v>
      </c>
      <c r="E3" s="6" t="s">
        <v>721</v>
      </c>
    </row>
    <row r="4" spans="1:5">
      <c r="A4" t="s">
        <v>722</v>
      </c>
      <c r="B4" t="s">
        <v>723</v>
      </c>
      <c r="C4" t="s">
        <v>724</v>
      </c>
      <c r="D4">
        <v>11</v>
      </c>
      <c r="E4" t="s">
        <v>725</v>
      </c>
    </row>
    <row r="6" spans="1:5" ht="14.4">
      <c r="A6" s="20" t="s">
        <v>726</v>
      </c>
      <c r="B6" s="20"/>
      <c r="C6" s="20"/>
      <c r="D6" s="20"/>
      <c r="E6" s="20"/>
    </row>
  </sheetData>
  <mergeCells count="2">
    <mergeCell ref="A1:E1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 Wise</vt:lpstr>
      <vt:lpstr>Bill Details</vt:lpstr>
      <vt:lpstr>Company Summary</vt:lpstr>
      <vt:lpstr>Checks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NOOR AGENCIES</cp:lastModifiedBy>
  <dcterms:modified xsi:type="dcterms:W3CDTF">2026-08-01T10:55:33Z</dcterms:modified>
</cp:coreProperties>
</file>