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11a9480d15f833/Desktop/data/"/>
    </mc:Choice>
  </mc:AlternateContent>
  <xr:revisionPtr revIDLastSave="4957" documentId="13_ncr:1_{2718E83A-7752-4971-9ED7-8EDAF9796A09}" xr6:coauthVersionLast="47" xr6:coauthVersionMax="47" xr10:uidLastSave="{32705A4B-CE3E-4C2B-B862-F4E94A773C33}"/>
  <bookViews>
    <workbookView xWindow="-108" yWindow="-108" windowWidth="23256" windowHeight="12456" firstSheet="30" activeTab="37" xr2:uid="{F2DAFC4A-D79D-4CAE-AD46-70B3AD95F134}"/>
  </bookViews>
  <sheets>
    <sheet name="BOSCH" sheetId="9" r:id="rId1"/>
    <sheet name="CHECKMATE" sheetId="33" r:id="rId2"/>
    <sheet name="CHINESE GENERIC" sheetId="22" r:id="rId3"/>
    <sheet name="DEWALT" sheetId="23" r:id="rId4"/>
    <sheet name="DONGCHENG " sheetId="1" r:id="rId5"/>
    <sheet name="ELECTO TOOLS" sheetId="18" r:id="rId6"/>
    <sheet name="FAD" sheetId="40" r:id="rId7"/>
    <sheet name="GALAXY PRO" sheetId="39" r:id="rId8"/>
    <sheet name="GLOBAL" sheetId="13" r:id="rId9"/>
    <sheet name="GOLDEN BULLET" sheetId="32" r:id="rId10"/>
    <sheet name="GUSTER" sheetId="26" r:id="rId11"/>
    <sheet name="HIKOKI" sheetId="41" r:id="rId12"/>
    <sheet name="JON BHANDARI" sheetId="29" r:id="rId13"/>
    <sheet name="KISAN KRAFT" sheetId="6" r:id="rId14"/>
    <sheet name="MAF PRO" sheetId="34" r:id="rId15"/>
    <sheet name="MAKITA" sheetId="35" r:id="rId16"/>
    <sheet name="MEGA GLUE GUNS" sheetId="36" r:id="rId17"/>
    <sheet name="MITSUKI" sheetId="4" r:id="rId18"/>
    <sheet name="PARKSIIDE" sheetId="10" r:id="rId19"/>
    <sheet name="PERFECT TOOLS" sheetId="38" r:id="rId20"/>
    <sheet name="POWERBILT" sheetId="2" r:id="rId21"/>
    <sheet name="POWERMATIC" sheetId="5" r:id="rId22"/>
    <sheet name="PROFESSIONAL" sheetId="17" r:id="rId23"/>
    <sheet name="PRO CUT" sheetId="21" r:id="rId24"/>
    <sheet name="PRO MAXX" sheetId="16" r:id="rId25"/>
    <sheet name="RUSTEZE" sheetId="25" r:id="rId26"/>
    <sheet name="SEPACK SEALING MACHINES" sheetId="24" r:id="rId27"/>
    <sheet name="SOLDRON" sheetId="31" r:id="rId28"/>
    <sheet name="stanley" sheetId="27" r:id="rId29"/>
    <sheet name="STRONG ALI" sheetId="11" r:id="rId30"/>
    <sheet name="THOR" sheetId="12" r:id="rId31"/>
    <sheet name="TOSHWELD" sheetId="19" r:id="rId32"/>
    <sheet name="TUQO" sheetId="3" r:id="rId33"/>
    <sheet name="ULTRAFAST" sheetId="14" r:id="rId34"/>
    <sheet name="ULTRA TOUCH" sheetId="15" r:id="rId35"/>
    <sheet name="UNIQAL" sheetId="30" r:id="rId36"/>
    <sheet name="whdz" sheetId="37" r:id="rId37"/>
    <sheet name="XLNT" sheetId="8" r:id="rId3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41" l="1"/>
  <c r="F3" i="41"/>
  <c r="E56" i="9" l="1"/>
  <c r="F56" i="9" s="1"/>
  <c r="E57" i="9"/>
  <c r="F57" i="9" s="1"/>
  <c r="E58" i="9"/>
  <c r="F58" i="9" s="1"/>
  <c r="E54" i="9" l="1"/>
  <c r="F54" i="9" s="1"/>
  <c r="E24" i="9"/>
  <c r="F24" i="9" s="1"/>
  <c r="C47" i="1" l="1"/>
  <c r="E16" i="22"/>
  <c r="F16" i="22"/>
  <c r="G16" i="22"/>
  <c r="E15" i="22"/>
  <c r="F15" i="22"/>
  <c r="G15" i="22"/>
  <c r="E14" i="22"/>
  <c r="F14" i="22"/>
  <c r="G14" i="22" s="1"/>
  <c r="E10" i="22"/>
  <c r="F10" i="22"/>
  <c r="C22" i="1"/>
  <c r="E10" i="8"/>
  <c r="G10" i="22"/>
  <c r="E4" i="9"/>
  <c r="F4" i="9"/>
  <c r="E11" i="8"/>
  <c r="D3" i="40"/>
  <c r="E11" i="15"/>
  <c r="E17" i="15"/>
  <c r="F29" i="2"/>
  <c r="F30" i="2"/>
  <c r="E3" i="39"/>
  <c r="E6" i="15"/>
  <c r="C35" i="1"/>
  <c r="E16" i="9"/>
  <c r="F16" i="9" s="1"/>
  <c r="F27" i="2"/>
  <c r="E4" i="38"/>
  <c r="E3" i="38"/>
  <c r="D3" i="37"/>
  <c r="E3" i="37" s="1"/>
  <c r="F3" i="37" s="1"/>
  <c r="C4" i="36"/>
  <c r="C3" i="36"/>
  <c r="F6" i="35"/>
  <c r="F7" i="35"/>
  <c r="E6" i="35"/>
  <c r="E7" i="35"/>
  <c r="F4" i="35"/>
  <c r="E3" i="35"/>
  <c r="F3" i="35" s="1"/>
  <c r="C10" i="1"/>
  <c r="E52" i="9"/>
  <c r="F52" i="9" s="1"/>
  <c r="C5" i="34"/>
  <c r="D5" i="34" s="1"/>
  <c r="C3" i="34"/>
  <c r="D3" i="34" s="1"/>
  <c r="E3" i="33"/>
  <c r="C24" i="1"/>
  <c r="E50" i="9"/>
  <c r="F50" i="9" s="1"/>
  <c r="E4" i="32"/>
  <c r="E5" i="32"/>
  <c r="E6" i="32"/>
  <c r="E8" i="32"/>
  <c r="E9" i="32"/>
  <c r="E3" i="32"/>
  <c r="E19" i="22"/>
  <c r="F19" i="22"/>
  <c r="G19" i="22"/>
  <c r="E6" i="27"/>
  <c r="E8" i="27"/>
  <c r="E10" i="27"/>
  <c r="E4" i="27"/>
  <c r="G21" i="22"/>
  <c r="C37" i="1"/>
  <c r="E21" i="9"/>
  <c r="F21" i="9" s="1"/>
  <c r="F4" i="31"/>
  <c r="G4" i="31" s="1"/>
  <c r="H4" i="31" s="1"/>
  <c r="F5" i="31"/>
  <c r="G5" i="31" s="1"/>
  <c r="H5" i="31" s="1"/>
  <c r="F6" i="31"/>
  <c r="G6" i="31" s="1"/>
  <c r="H6" i="31" s="1"/>
  <c r="F7" i="31"/>
  <c r="G7" i="31"/>
  <c r="H7" i="31" s="1"/>
  <c r="F3" i="31"/>
  <c r="G3" i="31" s="1"/>
  <c r="H3" i="31" s="1"/>
  <c r="E48" i="9"/>
  <c r="F48" i="9" s="1"/>
  <c r="E46" i="9"/>
  <c r="F46" i="9" s="1"/>
  <c r="E44" i="9"/>
  <c r="F44" i="9" s="1"/>
  <c r="C36" i="1"/>
  <c r="G18" i="22"/>
  <c r="D11" i="14"/>
  <c r="F25" i="3"/>
  <c r="F23" i="3"/>
  <c r="F25" i="2"/>
  <c r="D3" i="30"/>
  <c r="E37" i="9"/>
  <c r="F37" i="9" s="1"/>
  <c r="E38" i="9"/>
  <c r="F38" i="9" s="1"/>
  <c r="C45" i="1"/>
  <c r="F17" i="3"/>
  <c r="F21" i="3"/>
  <c r="E7" i="4"/>
  <c r="F19" i="3"/>
  <c r="C33" i="1"/>
  <c r="F13" i="2"/>
  <c r="F10" i="3"/>
  <c r="F23" i="2"/>
  <c r="E3" i="29"/>
  <c r="E9" i="8"/>
  <c r="C5" i="21"/>
  <c r="D5" i="21" s="1"/>
  <c r="E5" i="21" s="1"/>
  <c r="F17" i="2"/>
  <c r="C17" i="6"/>
  <c r="E12" i="9"/>
  <c r="F12" i="9" s="1"/>
  <c r="F9" i="2"/>
  <c r="F4" i="3"/>
  <c r="C15" i="1"/>
  <c r="E40" i="9"/>
  <c r="F40" i="9" s="1"/>
  <c r="F21" i="2"/>
  <c r="F11" i="2"/>
  <c r="F12" i="2"/>
  <c r="F8" i="2"/>
  <c r="F5" i="2"/>
  <c r="C7" i="1"/>
  <c r="E42" i="9"/>
  <c r="F42" i="9" s="1"/>
  <c r="C5" i="1"/>
  <c r="C23" i="1"/>
  <c r="E12" i="27"/>
  <c r="E3" i="27"/>
  <c r="E23" i="9"/>
  <c r="F23" i="9" s="1"/>
  <c r="E9" i="4"/>
  <c r="C32" i="1"/>
  <c r="E9" i="9"/>
  <c r="F9" i="9" s="1"/>
  <c r="E8" i="9"/>
  <c r="F8" i="9" s="1"/>
  <c r="E19" i="9"/>
  <c r="F19" i="9" s="1"/>
  <c r="E9" i="22"/>
  <c r="F9" i="22" s="1"/>
  <c r="G9" i="22" s="1"/>
  <c r="E12" i="22"/>
  <c r="F12" i="22" s="1"/>
  <c r="G12" i="22" s="1"/>
  <c r="D9" i="14"/>
  <c r="E7" i="22"/>
  <c r="G7" i="22" s="1"/>
  <c r="E15" i="15"/>
  <c r="E5" i="8"/>
  <c r="C9" i="1"/>
  <c r="E39" i="9"/>
  <c r="F39" i="9" s="1"/>
  <c r="E35" i="9"/>
  <c r="F35" i="9" s="1"/>
  <c r="E10" i="9"/>
  <c r="F10" i="9" s="1"/>
  <c r="E33" i="9"/>
  <c r="F33" i="9" s="1"/>
  <c r="C43" i="1"/>
  <c r="E5" i="22"/>
  <c r="G5" i="22" s="1"/>
  <c r="C25" i="1"/>
  <c r="F14" i="3"/>
  <c r="E29" i="9"/>
  <c r="F29" i="9" s="1"/>
  <c r="E31" i="9"/>
  <c r="F31" i="9" s="1"/>
  <c r="E30" i="9"/>
  <c r="F30" i="9" s="1"/>
  <c r="E7" i="8"/>
  <c r="E5" i="9"/>
  <c r="F5" i="9" s="1"/>
  <c r="E6" i="9"/>
  <c r="F6" i="9" s="1"/>
  <c r="D4" i="19"/>
  <c r="D15" i="19"/>
  <c r="E15" i="19"/>
  <c r="D14" i="19"/>
  <c r="E14" i="19"/>
  <c r="D6" i="19"/>
  <c r="E6" i="19" s="1"/>
  <c r="D8" i="19"/>
  <c r="E8" i="19"/>
  <c r="D9" i="19"/>
  <c r="E9" i="19"/>
  <c r="D10" i="19"/>
  <c r="E10" i="19"/>
  <c r="D11" i="19"/>
  <c r="E11" i="19"/>
  <c r="D12" i="19"/>
  <c r="E12" i="19"/>
  <c r="E5" i="26"/>
  <c r="E3" i="26"/>
  <c r="E3" i="25"/>
  <c r="C41" i="1"/>
  <c r="D9" i="24"/>
  <c r="E9" i="24" s="1"/>
  <c r="D10" i="24"/>
  <c r="E10" i="24" s="1"/>
  <c r="D11" i="24"/>
  <c r="E11" i="24" s="1"/>
  <c r="D12" i="24"/>
  <c r="E12" i="24" s="1"/>
  <c r="D8" i="24"/>
  <c r="E8" i="24" s="1"/>
  <c r="D4" i="24"/>
  <c r="E4" i="24"/>
  <c r="D5" i="24"/>
  <c r="E5" i="24" s="1"/>
  <c r="D6" i="24"/>
  <c r="E6" i="24"/>
  <c r="D3" i="24"/>
  <c r="E3" i="24" s="1"/>
  <c r="E5" i="15"/>
  <c r="E8" i="15"/>
  <c r="E9" i="15"/>
  <c r="E10" i="15"/>
  <c r="E13" i="15"/>
  <c r="E3" i="15"/>
  <c r="F27" i="3"/>
  <c r="F40" i="3"/>
  <c r="F37" i="3"/>
  <c r="F15" i="2"/>
  <c r="E3" i="22"/>
  <c r="G3" i="22"/>
  <c r="F19" i="2"/>
  <c r="E4" i="19"/>
  <c r="C3" i="21"/>
  <c r="D3" i="21" s="1"/>
  <c r="E3" i="21" s="1"/>
  <c r="D5" i="19"/>
  <c r="E5" i="19"/>
  <c r="F34" i="3"/>
  <c r="D3" i="18"/>
  <c r="C39" i="1"/>
  <c r="F32" i="3"/>
  <c r="F5" i="3"/>
  <c r="C3" i="17"/>
  <c r="D3" i="17" s="1"/>
  <c r="C3" i="16"/>
  <c r="D3" i="16" s="1"/>
  <c r="F3" i="2"/>
  <c r="F29" i="3"/>
  <c r="F30" i="3"/>
  <c r="F28" i="3"/>
  <c r="C11" i="6"/>
  <c r="F16" i="2"/>
  <c r="D6" i="5"/>
  <c r="C16" i="1"/>
  <c r="E6" i="4"/>
  <c r="F15" i="3"/>
  <c r="F11" i="3"/>
  <c r="D7" i="14"/>
  <c r="D5" i="14"/>
  <c r="D4" i="14"/>
  <c r="D3" i="14"/>
  <c r="C5" i="11"/>
  <c r="C4" i="1"/>
  <c r="C14" i="1"/>
  <c r="C12" i="1"/>
  <c r="C20" i="1"/>
  <c r="C31" i="1"/>
  <c r="C4" i="13"/>
  <c r="D4" i="13" s="1"/>
  <c r="C5" i="13"/>
  <c r="D5" i="13" s="1"/>
  <c r="C3" i="13"/>
  <c r="D3" i="13" s="1"/>
  <c r="D5" i="5"/>
  <c r="C3" i="12"/>
  <c r="C11" i="1"/>
  <c r="C29" i="1"/>
  <c r="C30" i="1"/>
  <c r="C27" i="1"/>
  <c r="E4" i="8"/>
  <c r="E3" i="8"/>
  <c r="C3" i="11"/>
  <c r="F3" i="3"/>
  <c r="F7" i="3"/>
  <c r="C3" i="10"/>
  <c r="E7" i="9"/>
  <c r="F7" i="9" s="1"/>
  <c r="E14" i="9"/>
  <c r="F14" i="9"/>
  <c r="E15" i="9"/>
  <c r="F15" i="9" s="1"/>
  <c r="E18" i="9"/>
  <c r="F18" i="9" s="1"/>
  <c r="E20" i="9"/>
  <c r="F20" i="9" s="1"/>
  <c r="E3" i="9"/>
  <c r="F3" i="9" s="1"/>
  <c r="E27" i="9"/>
  <c r="F27" i="9" s="1"/>
  <c r="E26" i="9"/>
  <c r="F26" i="9" s="1"/>
  <c r="F12" i="3"/>
  <c r="F8" i="3"/>
  <c r="C6" i="1"/>
  <c r="C3" i="1"/>
  <c r="C15" i="6"/>
  <c r="C13" i="6"/>
  <c r="C12" i="6"/>
  <c r="C5" i="6"/>
  <c r="C6" i="6"/>
  <c r="C7" i="6"/>
  <c r="C8" i="6"/>
  <c r="C9" i="6"/>
  <c r="C4" i="6"/>
  <c r="D3" i="5"/>
  <c r="E4" i="4"/>
  <c r="E3" i="4"/>
  <c r="F9" i="3"/>
  <c r="F6" i="3"/>
  <c r="F7" i="2"/>
  <c r="C18" i="1"/>
</calcChain>
</file>

<file path=xl/sharedStrings.xml><?xml version="1.0" encoding="utf-8"?>
<sst xmlns="http://schemas.openxmlformats.org/spreadsheetml/2006/main" count="788" uniqueCount="499">
  <si>
    <t>ITEM DESCRIPTION</t>
  </si>
  <si>
    <t>COST</t>
  </si>
  <si>
    <t>PRICE</t>
  </si>
  <si>
    <t>DRILLING MACHINES</t>
  </si>
  <si>
    <t xml:space="preserve">COST </t>
  </si>
  <si>
    <t>PRESSURE WASHERS</t>
  </si>
  <si>
    <r>
      <t xml:space="preserve">HIGH PRESSURE WASHER </t>
    </r>
    <r>
      <rPr>
        <b/>
        <sz val="11"/>
        <color theme="1"/>
        <rFont val="Calibri"/>
        <family val="2"/>
        <scheme val="minor"/>
      </rPr>
      <t>MI5</t>
    </r>
  </si>
  <si>
    <r>
      <t xml:space="preserve">HIGH PRESSURE WASHER </t>
    </r>
    <r>
      <rPr>
        <b/>
        <sz val="11"/>
        <color theme="1"/>
        <rFont val="Calibri"/>
        <family val="2"/>
        <scheme val="minor"/>
      </rPr>
      <t>MI8</t>
    </r>
  </si>
  <si>
    <r>
      <t xml:space="preserve">HIGH PRESSURE WASHER </t>
    </r>
    <r>
      <rPr>
        <b/>
        <sz val="11"/>
        <color theme="1"/>
        <rFont val="Calibri"/>
        <family val="2"/>
        <scheme val="minor"/>
      </rPr>
      <t>HW2060</t>
    </r>
  </si>
  <si>
    <r>
      <t xml:space="preserve">HIGH PRESSURE WASHER </t>
    </r>
    <r>
      <rPr>
        <b/>
        <sz val="11"/>
        <color theme="1"/>
        <rFont val="Calibri"/>
        <family val="2"/>
        <scheme val="minor"/>
      </rPr>
      <t>HW2000</t>
    </r>
  </si>
  <si>
    <t>MODEL NO</t>
  </si>
  <si>
    <t>DZJ02-13</t>
  </si>
  <si>
    <t>DCJZ1202E</t>
  </si>
  <si>
    <t>PBT-CL-CD12ES</t>
  </si>
  <si>
    <t>6MM DRILL 350W</t>
  </si>
  <si>
    <t>PTC-ED-6RE</t>
  </si>
  <si>
    <t xml:space="preserve">MARGIN </t>
  </si>
  <si>
    <t>KNAPSACK SPRAYERS</t>
  </si>
  <si>
    <t>MANUAL SPRAYER</t>
  </si>
  <si>
    <t>BATTERY OPERATED SPRAYERS</t>
  </si>
  <si>
    <t>BATTERY CUM MANUAL SPRAYERS</t>
  </si>
  <si>
    <t>BATTERY SPRAYER 18L 185</t>
  </si>
  <si>
    <t>BATTERY SPRAYER 18L 199</t>
  </si>
  <si>
    <t>MANUAL SPRAYER 1L</t>
  </si>
  <si>
    <t>MANUAL SPRAYER 1.5L</t>
  </si>
  <si>
    <t>MANUAL SPRAYER 2L</t>
  </si>
  <si>
    <t>MANUAL SPRAYER 16L</t>
  </si>
  <si>
    <t>MANUAL SPRAYER 3L</t>
  </si>
  <si>
    <t>SPRAYER 18L 318</t>
  </si>
  <si>
    <t xml:space="preserve"> ELECTRIC DRILLING MACHINES</t>
  </si>
  <si>
    <t xml:space="preserve">ELECTRIC IMPACT DRILL 6.5MM </t>
  </si>
  <si>
    <t>DJZ02-6A</t>
  </si>
  <si>
    <t>MARGIN</t>
  </si>
  <si>
    <t>DZJ03-13</t>
  </si>
  <si>
    <r>
      <t xml:space="preserve">HIGH PRESSURE WASHER </t>
    </r>
    <r>
      <rPr>
        <b/>
        <sz val="11"/>
        <color theme="1"/>
        <rFont val="Calibri"/>
        <family val="2"/>
        <scheme val="minor"/>
      </rPr>
      <t>HW2050</t>
    </r>
  </si>
  <si>
    <r>
      <t xml:space="preserve">HIGH PRESSURE WASHER </t>
    </r>
    <r>
      <rPr>
        <b/>
        <sz val="11"/>
        <color theme="1"/>
        <rFont val="Calibri"/>
        <family val="2"/>
        <scheme val="minor"/>
      </rPr>
      <t>HW2300</t>
    </r>
  </si>
  <si>
    <t>GST</t>
  </si>
  <si>
    <t>CUT OFF MACHINES 14"</t>
  </si>
  <si>
    <t>GSB 450(10mm)</t>
  </si>
  <si>
    <t>GSB 600(13mm)</t>
  </si>
  <si>
    <t>GDC 140(4")</t>
  </si>
  <si>
    <t>GDC 141(5")</t>
  </si>
  <si>
    <t>ANGLE GRINDERS</t>
  </si>
  <si>
    <t>MARBLE CUTTERS</t>
  </si>
  <si>
    <t>HIGH PRESSURE WASHER 240 BAR</t>
  </si>
  <si>
    <r>
      <t xml:space="preserve">HIGH PRESSURE WASHER </t>
    </r>
    <r>
      <rPr>
        <b/>
        <sz val="11"/>
        <color theme="1"/>
        <rFont val="Calibri"/>
        <family val="2"/>
        <scheme val="minor"/>
      </rPr>
      <t>HW2020</t>
    </r>
  </si>
  <si>
    <r>
      <t xml:space="preserve">HIGH PRESSURE WASHER </t>
    </r>
    <r>
      <rPr>
        <b/>
        <sz val="11"/>
        <color theme="1"/>
        <rFont val="Calibri"/>
        <family val="2"/>
        <scheme val="minor"/>
      </rPr>
      <t>HW1000</t>
    </r>
  </si>
  <si>
    <t>HIGH PRESSURE WASHERS</t>
  </si>
  <si>
    <t>STRONG ALI 2023-160-01</t>
  </si>
  <si>
    <t>XL-2209</t>
  </si>
  <si>
    <t>XL-12-8</t>
  </si>
  <si>
    <t>DSJ02-25</t>
  </si>
  <si>
    <t>ELECTRIC DIE GRINDER</t>
  </si>
  <si>
    <t>DIE GRINDER METAL BODY</t>
  </si>
  <si>
    <t>DSM03-100A</t>
  </si>
  <si>
    <t>DSM08-100</t>
  </si>
  <si>
    <t>ANGLE GRINDER</t>
  </si>
  <si>
    <t>DZC03-26B</t>
  </si>
  <si>
    <t xml:space="preserve"> ELECTRIC ROTARY HAMMERS</t>
  </si>
  <si>
    <t>PRESSSURE WASHERS</t>
  </si>
  <si>
    <t>ECO-140-23-06</t>
  </si>
  <si>
    <t>20MM ROTARY HAMMER DRILL</t>
  </si>
  <si>
    <t>PTC-RH-20HQ</t>
  </si>
  <si>
    <t>PLASTIC BAG SEALING MACHINES</t>
  </si>
  <si>
    <t>SEALER 8"</t>
  </si>
  <si>
    <t>SEALER 10"</t>
  </si>
  <si>
    <t>SEALER 12"</t>
  </si>
  <si>
    <t>DCJZ2060I</t>
  </si>
  <si>
    <t>DSM17-100</t>
  </si>
  <si>
    <t>DZC05-26B</t>
  </si>
  <si>
    <t xml:space="preserve">HAMMERING MACHINES </t>
  </si>
  <si>
    <t>DZG6S</t>
  </si>
  <si>
    <t>ELECTRIC ROTARY HAMER 6KG</t>
  </si>
  <si>
    <t>ELECTRIC ROTARY HAMMER 26B 3KG</t>
  </si>
  <si>
    <t>MARBLE CUTTER</t>
  </si>
  <si>
    <t>DZE02-110</t>
  </si>
  <si>
    <t>ELECTRIC BLOWERS</t>
  </si>
  <si>
    <t>ORANGE BLOWER 550W</t>
  </si>
  <si>
    <t>ELECTRIC DRILLING MACHINES</t>
  </si>
  <si>
    <t>UF-10RE</t>
  </si>
  <si>
    <t>UF-13RE</t>
  </si>
  <si>
    <t>UF-BOS13HD</t>
  </si>
  <si>
    <t>20MM 500W</t>
  </si>
  <si>
    <t>UF-220RE</t>
  </si>
  <si>
    <t>ELECTRIC ROTARY HAMMERS</t>
  </si>
  <si>
    <r>
      <t xml:space="preserve">HIGH PRESSURE WASHER </t>
    </r>
    <r>
      <rPr>
        <b/>
        <sz val="11"/>
        <color theme="1"/>
        <rFont val="Calibri"/>
        <family val="2"/>
        <scheme val="minor"/>
      </rPr>
      <t>HW2080</t>
    </r>
  </si>
  <si>
    <t>BAR</t>
  </si>
  <si>
    <t>WATTS</t>
  </si>
  <si>
    <t>CORDLESS DRILLING MACHINES</t>
  </si>
  <si>
    <r>
      <t xml:space="preserve">CORDLESS IMPACT DRILL </t>
    </r>
    <r>
      <rPr>
        <b/>
        <sz val="11"/>
        <color theme="1"/>
        <rFont val="Calibri"/>
        <family val="2"/>
        <scheme val="minor"/>
      </rPr>
      <t>AH150</t>
    </r>
  </si>
  <si>
    <t>21V</t>
  </si>
  <si>
    <r>
      <t xml:space="preserve">CORDLESS IMPACT DRILL </t>
    </r>
    <r>
      <rPr>
        <b/>
        <sz val="11"/>
        <color theme="1"/>
        <rFont val="Calibri"/>
        <family val="2"/>
        <scheme val="minor"/>
      </rPr>
      <t>MI57</t>
    </r>
  </si>
  <si>
    <t>ELCTRIC BLOWER</t>
  </si>
  <si>
    <t>PRECURSSION HAMMER 11KG</t>
  </si>
  <si>
    <t>DZG10</t>
  </si>
  <si>
    <t>300W</t>
  </si>
  <si>
    <t>500W</t>
  </si>
  <si>
    <t>800W</t>
  </si>
  <si>
    <t>12V</t>
  </si>
  <si>
    <t>20V</t>
  </si>
  <si>
    <t>710W</t>
  </si>
  <si>
    <t>1100W</t>
  </si>
  <si>
    <t>1240W</t>
  </si>
  <si>
    <t xml:space="preserve">ELECTRIC IMPACT DRILL 10MM </t>
  </si>
  <si>
    <t xml:space="preserve">ELECTRIC IMPACT DRILL 13MM PLASTIC </t>
  </si>
  <si>
    <t xml:space="preserve">ELECTRIC IMPACT DRILL 13MM METAL </t>
  </si>
  <si>
    <t xml:space="preserve">ELECTRIC ROTARY HAMMER 26B </t>
  </si>
  <si>
    <t xml:space="preserve">ANGLE GRINDER 4" SIDE SWITCH </t>
  </si>
  <si>
    <t xml:space="preserve">ANGLE GRINDER 4" BACK SWITCH </t>
  </si>
  <si>
    <t>ANGLE GRINDER 4" BACK SWITCH</t>
  </si>
  <si>
    <t xml:space="preserve">CORDLESS IMPACT DRILL </t>
  </si>
  <si>
    <t>HAMMERING MACHINES</t>
  </si>
  <si>
    <t>26MM ROTARY HAMMER DRILL</t>
  </si>
  <si>
    <t>PTC-RH-26HQ</t>
  </si>
  <si>
    <t>26MM ROTARY HAMMER</t>
  </si>
  <si>
    <t>PBT-RH-26</t>
  </si>
  <si>
    <t>BATTERY SPRAYER 12L 312</t>
  </si>
  <si>
    <t>MANUAL SPRAYER 5L</t>
  </si>
  <si>
    <t>VACCUM CLEANER</t>
  </si>
  <si>
    <r>
      <t xml:space="preserve">VACCUM CLEANER 35L </t>
    </r>
    <r>
      <rPr>
        <b/>
        <sz val="11"/>
        <color theme="1"/>
        <rFont val="Calibri"/>
        <family val="2"/>
        <scheme val="minor"/>
      </rPr>
      <t>VK03</t>
    </r>
  </si>
  <si>
    <t>CORDLESS IMPACT WRENCH</t>
  </si>
  <si>
    <t>DCPB488</t>
  </si>
  <si>
    <t>230W</t>
  </si>
  <si>
    <t>PBT-AG4-1100</t>
  </si>
  <si>
    <t>4" ANGLE GRINDER BACK SWITH</t>
  </si>
  <si>
    <t>MXP AG 803</t>
  </si>
  <si>
    <t>4" ANGLE GRINDER BACK SWITCH</t>
  </si>
  <si>
    <t>6-100</t>
  </si>
  <si>
    <r>
      <t xml:space="preserve">VACCUM CLEANER 70L </t>
    </r>
    <r>
      <rPr>
        <b/>
        <sz val="11"/>
        <color theme="1"/>
        <rFont val="Calibri"/>
        <family val="2"/>
        <scheme val="minor"/>
      </rPr>
      <t>VK06</t>
    </r>
  </si>
  <si>
    <r>
      <t xml:space="preserve">VACCUM CLEANER 100L </t>
    </r>
    <r>
      <rPr>
        <b/>
        <sz val="11"/>
        <color theme="1"/>
        <rFont val="Calibri"/>
        <family val="2"/>
        <scheme val="minor"/>
      </rPr>
      <t>VK07</t>
    </r>
  </si>
  <si>
    <r>
      <t xml:space="preserve">HIGH PRESSURE WASHER </t>
    </r>
    <r>
      <rPr>
        <b/>
        <sz val="11"/>
        <color theme="1"/>
        <rFont val="Calibri"/>
        <family val="2"/>
        <scheme val="minor"/>
      </rPr>
      <t>HW1900</t>
    </r>
  </si>
  <si>
    <t>CHAIN SAWS</t>
  </si>
  <si>
    <r>
      <t xml:space="preserve">CHAIN SAW 62CC </t>
    </r>
    <r>
      <rPr>
        <b/>
        <sz val="11"/>
        <color theme="1"/>
        <rFont val="Calibri"/>
        <family val="2"/>
        <scheme val="minor"/>
      </rPr>
      <t>KN1862</t>
    </r>
  </si>
  <si>
    <t>2.8KW</t>
  </si>
  <si>
    <t>ELECTRIC JIG SAW</t>
  </si>
  <si>
    <t xml:space="preserve">JIG SAW </t>
  </si>
  <si>
    <t>580W</t>
  </si>
  <si>
    <t>DMQ85S</t>
  </si>
  <si>
    <t>ENGRAVING TOOL</t>
  </si>
  <si>
    <t>VOLT</t>
  </si>
  <si>
    <t>CARBIDE TIP ENGRAVING TOOL</t>
  </si>
  <si>
    <t>BRUSH CUTTER</t>
  </si>
  <si>
    <r>
      <t xml:space="preserve">BRUSH CUTTER 52CC </t>
    </r>
    <r>
      <rPr>
        <b/>
        <sz val="11"/>
        <color theme="1"/>
        <rFont val="Calibri"/>
        <family val="2"/>
        <scheme val="minor"/>
      </rPr>
      <t>GBS340</t>
    </r>
  </si>
  <si>
    <t>PHASE</t>
  </si>
  <si>
    <t>3 PHASE</t>
  </si>
  <si>
    <t>AG4 BACK SWITCH</t>
  </si>
  <si>
    <t xml:space="preserve">GST </t>
  </si>
  <si>
    <t>FREIGHT</t>
  </si>
  <si>
    <t>CORDLESS DRILLING MACHINE</t>
  </si>
  <si>
    <t>12V CORDLESS DRILL/SCREWDRIVER</t>
  </si>
  <si>
    <t>600W</t>
  </si>
  <si>
    <t>ARC 200</t>
  </si>
  <si>
    <t>1 PHASE</t>
  </si>
  <si>
    <t>ELECTRIC ROTARY HAMER 5KG</t>
  </si>
  <si>
    <t>DZG06-6S</t>
  </si>
  <si>
    <t>1400W</t>
  </si>
  <si>
    <t>ELECTRIC PAINT SPRAYER</t>
  </si>
  <si>
    <t>PAINT SPRAYER</t>
  </si>
  <si>
    <t>PBT-PS-1100</t>
  </si>
  <si>
    <t>ELECTRIC SCREWDRIVER SETS</t>
  </si>
  <si>
    <r>
      <rPr>
        <b/>
        <sz val="11"/>
        <color theme="1"/>
        <rFont val="Calibri"/>
        <family val="2"/>
        <scheme val="minor"/>
      </rPr>
      <t>TUOYE</t>
    </r>
    <r>
      <rPr>
        <sz val="11"/>
        <color theme="1"/>
        <rFont val="Calibri"/>
        <family val="2"/>
        <scheme val="minor"/>
      </rPr>
      <t xml:space="preserve">  47 PC CORDLESS SCREWDRIVER SET</t>
    </r>
  </si>
  <si>
    <t>680W</t>
  </si>
  <si>
    <t>950W</t>
  </si>
  <si>
    <t>10MM</t>
  </si>
  <si>
    <t>13MM</t>
  </si>
  <si>
    <t>20MM ROTARY HAMMER</t>
  </si>
  <si>
    <t>PBT-RH-20A</t>
  </si>
  <si>
    <t>AIR COMPRESSORS</t>
  </si>
  <si>
    <t>OIL FREE</t>
  </si>
  <si>
    <r>
      <t xml:space="preserve">AIR COMPRESSOR </t>
    </r>
    <r>
      <rPr>
        <b/>
        <sz val="11"/>
        <color theme="1"/>
        <rFont val="Calibri"/>
        <family val="2"/>
        <scheme val="minor"/>
      </rPr>
      <t>LK09OF</t>
    </r>
    <r>
      <rPr>
        <sz val="11"/>
        <color theme="1"/>
        <rFont val="Calibri"/>
        <family val="2"/>
        <scheme val="minor"/>
      </rPr>
      <t xml:space="preserve"> 9L 
1440RPM , 105L/MIN</t>
    </r>
  </si>
  <si>
    <r>
      <t xml:space="preserve">AIR COMPRESSOR </t>
    </r>
    <r>
      <rPr>
        <b/>
        <sz val="11"/>
        <color theme="1"/>
        <rFont val="Calibri"/>
        <family val="2"/>
        <scheme val="minor"/>
      </rPr>
      <t>LK25DB</t>
    </r>
    <r>
      <rPr>
        <sz val="11"/>
        <color theme="1"/>
        <rFont val="Calibri"/>
        <family val="2"/>
        <scheme val="minor"/>
      </rPr>
      <t xml:space="preserve"> 25L
2850RPM , 185L/MIN , 2.5HP</t>
    </r>
  </si>
  <si>
    <t>OIL TYPE</t>
  </si>
  <si>
    <r>
      <t xml:space="preserve">VACCUM CLEANER 25L </t>
    </r>
    <r>
      <rPr>
        <b/>
        <sz val="11"/>
        <color theme="1"/>
        <rFont val="Calibri"/>
        <family val="2"/>
        <scheme val="minor"/>
      </rPr>
      <t>VK02</t>
    </r>
  </si>
  <si>
    <t>DW801-IN</t>
  </si>
  <si>
    <t>550W</t>
  </si>
  <si>
    <t>670W</t>
  </si>
  <si>
    <t>450W</t>
  </si>
  <si>
    <t>350W</t>
  </si>
  <si>
    <t>850W</t>
  </si>
  <si>
    <t>ROTARY HAMMERS</t>
  </si>
  <si>
    <t>SEPACK DELTA MODELS</t>
  </si>
  <si>
    <t>DELTA 200</t>
  </si>
  <si>
    <t>DELTA 300</t>
  </si>
  <si>
    <t>DELTA 250</t>
  </si>
  <si>
    <t>DELTA 400</t>
  </si>
  <si>
    <t>SEPACK HB MODELS</t>
  </si>
  <si>
    <t>HB 200</t>
  </si>
  <si>
    <t>HB 300</t>
  </si>
  <si>
    <t>HB 400</t>
  </si>
  <si>
    <t>HB 500</t>
  </si>
  <si>
    <t>HB 600</t>
  </si>
  <si>
    <t>POWER</t>
  </si>
  <si>
    <t>215VA</t>
  </si>
  <si>
    <t>320VA</t>
  </si>
  <si>
    <t>340VA</t>
  </si>
  <si>
    <t>525VA</t>
  </si>
  <si>
    <t>PAINT MIXER</t>
  </si>
  <si>
    <t>ELECTRIC PAINT MIXER</t>
  </si>
  <si>
    <t>DQU160</t>
  </si>
  <si>
    <t>HIGH PRESSURE WASHER</t>
  </si>
  <si>
    <t>PRESSURE WASHER</t>
  </si>
  <si>
    <t>BAR/POWER</t>
  </si>
  <si>
    <t>BLOWER</t>
  </si>
  <si>
    <t>185KM/H</t>
  </si>
  <si>
    <t>DWD014</t>
  </si>
  <si>
    <t>4" ANGLE GRINDER</t>
  </si>
  <si>
    <t>10mm ELECTRIC DRILL</t>
  </si>
  <si>
    <t>DRILLING MACHINE</t>
  </si>
  <si>
    <t>245VA</t>
  </si>
  <si>
    <t>13mm ELECTRIC DRILLING M/C</t>
  </si>
  <si>
    <t>SDH600</t>
  </si>
  <si>
    <t>ARC WELDING MACHINES</t>
  </si>
  <si>
    <t>IGBT SERIES</t>
  </si>
  <si>
    <t>ARC 200 NANO</t>
  </si>
  <si>
    <t>ARC 200 G</t>
  </si>
  <si>
    <t>ARC 250 NANO</t>
  </si>
  <si>
    <t>MOSFET SERIES</t>
  </si>
  <si>
    <t>ARC 250 ST</t>
  </si>
  <si>
    <t>ARC 300</t>
  </si>
  <si>
    <t>ARC 300 L</t>
  </si>
  <si>
    <t>ARC 400 T</t>
  </si>
  <si>
    <t>TIG 200</t>
  </si>
  <si>
    <t>TIG 300</t>
  </si>
  <si>
    <t>TIG WELDING MACHINES</t>
  </si>
  <si>
    <t>DW750</t>
  </si>
  <si>
    <r>
      <t xml:space="preserve">VACCUM CLEANER </t>
    </r>
    <r>
      <rPr>
        <b/>
        <sz val="11"/>
        <color theme="1"/>
        <rFont val="Calibri"/>
        <family val="2"/>
        <scheme val="minor"/>
      </rPr>
      <t>XTVC 40-30</t>
    </r>
  </si>
  <si>
    <t>VACCUM CLEANERS</t>
  </si>
  <si>
    <t>GHG 20-60</t>
  </si>
  <si>
    <t>GHG 20-63</t>
  </si>
  <si>
    <t>HEAT TORCH/GUN</t>
  </si>
  <si>
    <t>SPEC</t>
  </si>
  <si>
    <t>50-630 DEGREES</t>
  </si>
  <si>
    <t>D26414</t>
  </si>
  <si>
    <t>GHG 180</t>
  </si>
  <si>
    <t>HEATING TORCH</t>
  </si>
  <si>
    <t>HEAT GUNS</t>
  </si>
  <si>
    <r>
      <t xml:space="preserve">CORDLESS IMPACT DRILL </t>
    </r>
    <r>
      <rPr>
        <b/>
        <sz val="11"/>
        <color theme="1"/>
        <rFont val="Calibri"/>
        <family val="2"/>
        <scheme val="minor"/>
      </rPr>
      <t>AS120</t>
    </r>
  </si>
  <si>
    <t>DCPB298</t>
  </si>
  <si>
    <t>DIGITAL CLAMP METER</t>
  </si>
  <si>
    <r>
      <t xml:space="preserve">REPON </t>
    </r>
    <r>
      <rPr>
        <sz val="11"/>
        <color theme="1"/>
        <rFont val="Calibri"/>
        <family val="2"/>
        <scheme val="minor"/>
      </rPr>
      <t>DIGITAL CLAMP METER</t>
    </r>
  </si>
  <si>
    <t>CONCRETE VIBRATOR</t>
  </si>
  <si>
    <t>1200W</t>
  </si>
  <si>
    <t>DZD35</t>
  </si>
  <si>
    <t>GEX-125</t>
  </si>
  <si>
    <t xml:space="preserve">RANDOM ORBITAL SANDER </t>
  </si>
  <si>
    <t xml:space="preserve">CRODLESS IMPACT DRILL </t>
  </si>
  <si>
    <t>GKS130</t>
  </si>
  <si>
    <t>GSB185</t>
  </si>
  <si>
    <t>18V</t>
  </si>
  <si>
    <t>WOOD CIRCULAR SAW 7"</t>
  </si>
  <si>
    <t xml:space="preserve">ELECTRIC ROTARY HAMMER 20 </t>
  </si>
  <si>
    <t>DZC02-20</t>
  </si>
  <si>
    <t>XTHPW-37</t>
  </si>
  <si>
    <t>PRESSURE</t>
  </si>
  <si>
    <t>HOT AIR GUN</t>
  </si>
  <si>
    <t>200W</t>
  </si>
  <si>
    <t>DIGITAL MULTI METER</t>
  </si>
  <si>
    <t>UFG-1018-2000W</t>
  </si>
  <si>
    <t>MARBLE CUTTER 5" GOLD SERIES</t>
  </si>
  <si>
    <t>2000W</t>
  </si>
  <si>
    <t>CORDLESS PRESSURE WASHER</t>
  </si>
  <si>
    <t>CORDLESS VACCUM CLEANER</t>
  </si>
  <si>
    <t>GSB 500 RE(10mm) 100PC KIT</t>
  </si>
  <si>
    <t>5" ANGLE GRINDER</t>
  </si>
  <si>
    <t>DWE4115</t>
  </si>
  <si>
    <t>ANGLE GRINDER 5"</t>
  </si>
  <si>
    <t>DSM02-125</t>
  </si>
  <si>
    <t>CHAINSAWS</t>
  </si>
  <si>
    <r>
      <t xml:space="preserve">CHAINSAW 18" </t>
    </r>
    <r>
      <rPr>
        <b/>
        <sz val="11"/>
        <color theme="1"/>
        <rFont val="Calibri"/>
        <family val="2"/>
        <scheme val="minor"/>
      </rPr>
      <t>MI30</t>
    </r>
  </si>
  <si>
    <t>62CC</t>
  </si>
  <si>
    <t>GBH 220</t>
  </si>
  <si>
    <t>ROTARY HAMMER</t>
  </si>
  <si>
    <t>22mm</t>
  </si>
  <si>
    <t xml:space="preserve">GCO-220 </t>
  </si>
  <si>
    <t xml:space="preserve">GCO 14-24 </t>
  </si>
  <si>
    <t>ELECTRIC GLUE GUN</t>
  </si>
  <si>
    <t xml:space="preserve">GLUE SHOT </t>
  </si>
  <si>
    <t>6-GR20</t>
  </si>
  <si>
    <t>GST 90 BE</t>
  </si>
  <si>
    <t>JIGSAW</t>
  </si>
  <si>
    <t>650W</t>
  </si>
  <si>
    <t>ELECTRIC DRILL 16MM</t>
  </si>
  <si>
    <t>DZJ 16A</t>
  </si>
  <si>
    <t>CAR POLISHING MACHINE</t>
  </si>
  <si>
    <t>PBT-CP-1500</t>
  </si>
  <si>
    <t>CAR POLISHING MACHINE 7"</t>
  </si>
  <si>
    <t>PBT-CBL-16.8V</t>
  </si>
  <si>
    <t>550NM</t>
  </si>
  <si>
    <t>1000NM</t>
  </si>
  <si>
    <t>PBT-CL-21WR550</t>
  </si>
  <si>
    <t>PBT-CL-21WR1000</t>
  </si>
  <si>
    <t xml:space="preserve">CORDLESS IMPACT WRENCH </t>
  </si>
  <si>
    <t>DWD024</t>
  </si>
  <si>
    <t>13mm ELECTRIC DRILL</t>
  </si>
  <si>
    <t xml:space="preserve"> LASER DISTANCE METER 100M</t>
  </si>
  <si>
    <t>PBT-LDM-100M</t>
  </si>
  <si>
    <t>LASER DISTANCE METER</t>
  </si>
  <si>
    <t>26MM SDS PLUS CORDLESS HAMMER</t>
  </si>
  <si>
    <t>DCH133N</t>
  </si>
  <si>
    <r>
      <t xml:space="preserve">HIGH PRESSURE WASHER </t>
    </r>
    <r>
      <rPr>
        <b/>
        <sz val="11"/>
        <color theme="1"/>
        <rFont val="Calibri"/>
        <family val="2"/>
        <scheme val="minor"/>
      </rPr>
      <t>HW1800</t>
    </r>
  </si>
  <si>
    <t>21v</t>
  </si>
  <si>
    <t>PBT-CL-CID21V</t>
  </si>
  <si>
    <t>CAR POLISHINNG MACHINE</t>
  </si>
  <si>
    <r>
      <t xml:space="preserve">THERMAL FOGGER </t>
    </r>
    <r>
      <rPr>
        <b/>
        <sz val="11"/>
        <color theme="1"/>
        <rFont val="Calibri"/>
        <family val="2"/>
        <scheme val="minor"/>
      </rPr>
      <t>KK-TF-8610</t>
    </r>
  </si>
  <si>
    <t>THERMAL FOGGERS</t>
  </si>
  <si>
    <r>
      <t xml:space="preserve">HAOYUE </t>
    </r>
    <r>
      <rPr>
        <sz val="11"/>
        <color theme="1"/>
        <rFont val="Calibri"/>
        <family val="2"/>
        <scheme val="minor"/>
      </rPr>
      <t>DIGITAL MULTIMETER</t>
    </r>
    <r>
      <rPr>
        <b/>
        <sz val="11"/>
        <color theme="1"/>
        <rFont val="Calibri"/>
        <family val="2"/>
        <scheme val="minor"/>
      </rPr>
      <t>(CHACHA)</t>
    </r>
  </si>
  <si>
    <t>PRESSURE WASHER (W/O)</t>
  </si>
  <si>
    <t>30MM ROTARY HAMMER</t>
  </si>
  <si>
    <t>PBT-RH-30A</t>
  </si>
  <si>
    <t>211 PC DIE GRINDER KIT</t>
  </si>
  <si>
    <t>DIE GRINDER KITS</t>
  </si>
  <si>
    <r>
      <t xml:space="preserve">SCREWDRIVER DRILL </t>
    </r>
    <r>
      <rPr>
        <b/>
        <sz val="11"/>
        <color theme="1"/>
        <rFont val="Calibri"/>
        <family val="2"/>
        <scheme val="minor"/>
      </rPr>
      <t>XTCDS-126</t>
    </r>
  </si>
  <si>
    <t>CORDLESS DRILLS</t>
  </si>
  <si>
    <t>P-072</t>
  </si>
  <si>
    <t>CORDLESS ANGLE GRINDER</t>
  </si>
  <si>
    <t>PBT-CL-AG4</t>
  </si>
  <si>
    <t>CORDLSS ANGLE GRINDER</t>
  </si>
  <si>
    <r>
      <t xml:space="preserve">HIGH PRESSURE WASHER </t>
    </r>
    <r>
      <rPr>
        <b/>
        <sz val="11"/>
        <color theme="1"/>
        <rFont val="Calibri"/>
        <family val="2"/>
        <scheme val="minor"/>
      </rPr>
      <t>HW2070</t>
    </r>
  </si>
  <si>
    <t xml:space="preserve">BLOWER </t>
  </si>
  <si>
    <t>1500W</t>
  </si>
  <si>
    <t>CORDLESS IMPACT DRIVER</t>
  </si>
  <si>
    <t>PBT-CL-WR21</t>
  </si>
  <si>
    <t>DSM180A</t>
  </si>
  <si>
    <t>ANGLE GRINDER 7"</t>
  </si>
  <si>
    <t>2200W</t>
  </si>
  <si>
    <t>CORDLESS GRINDING MACHINES</t>
  </si>
  <si>
    <r>
      <t>CORDLESS IMPACT WRENCH KIT</t>
    </r>
    <r>
      <rPr>
        <b/>
        <sz val="11"/>
        <color theme="1"/>
        <rFont val="Calibri"/>
        <family val="2"/>
        <scheme val="minor"/>
      </rPr>
      <t xml:space="preserve"> AZR210</t>
    </r>
  </si>
  <si>
    <t>450N</t>
  </si>
  <si>
    <r>
      <t xml:space="preserve">CORDLESS ROTARY HAMMER  26MM </t>
    </r>
    <r>
      <rPr>
        <b/>
        <sz val="11"/>
        <color theme="1"/>
        <rFont val="Calibri"/>
        <family val="2"/>
        <scheme val="minor"/>
      </rPr>
      <t>ABH800</t>
    </r>
  </si>
  <si>
    <r>
      <t xml:space="preserve">CORDLESS IMPACT WRENCH </t>
    </r>
    <r>
      <rPr>
        <b/>
        <sz val="11"/>
        <color theme="1"/>
        <rFont val="Calibri"/>
        <family val="2"/>
        <scheme val="minor"/>
      </rPr>
      <t>MI62 KIT</t>
    </r>
  </si>
  <si>
    <t>TRIMMER</t>
  </si>
  <si>
    <t>DMP04-6</t>
  </si>
  <si>
    <t>ROUTER/TRIMMER</t>
  </si>
  <si>
    <t>GSR120 LI (SINGLE BATTERY)</t>
  </si>
  <si>
    <t>GSR120 LI KIT</t>
  </si>
  <si>
    <t>UQE02</t>
  </si>
  <si>
    <r>
      <t xml:space="preserve">CORDLESS grinding MACHINE </t>
    </r>
    <r>
      <rPr>
        <b/>
        <sz val="11"/>
        <color theme="1"/>
        <rFont val="Calibri"/>
        <family val="2"/>
        <scheme val="minor"/>
      </rPr>
      <t>ACW440</t>
    </r>
  </si>
  <si>
    <t>PBT-CM4-1900G</t>
  </si>
  <si>
    <t>MARBLE / GRANITE CUTTER</t>
  </si>
  <si>
    <r>
      <t>CORDLESS PRUNER</t>
    </r>
    <r>
      <rPr>
        <b/>
        <sz val="11"/>
        <color theme="1"/>
        <rFont val="Calibri"/>
        <family val="2"/>
        <scheme val="minor"/>
      </rPr>
      <t xml:space="preserve"> ACG130</t>
    </r>
  </si>
  <si>
    <r>
      <t>CORDLESS BLOWER</t>
    </r>
    <r>
      <rPr>
        <b/>
        <sz val="11"/>
        <color theme="1"/>
        <rFont val="Calibri"/>
        <family val="2"/>
        <scheme val="minor"/>
      </rPr>
      <t xml:space="preserve"> ABL70</t>
    </r>
  </si>
  <si>
    <t xml:space="preserve">CORDLESS PRUNER </t>
  </si>
  <si>
    <t xml:space="preserve">CORDLESS BLOWER </t>
  </si>
  <si>
    <t>ANGLE GRINDER 4"</t>
  </si>
  <si>
    <t>UF-AG801P</t>
  </si>
  <si>
    <t>TORQUE</t>
  </si>
  <si>
    <t>CORDLESS BRUSH CUTTER</t>
  </si>
  <si>
    <t>margin</t>
  </si>
  <si>
    <t>1050W</t>
  </si>
  <si>
    <t>DZE03-110</t>
  </si>
  <si>
    <t>1300W</t>
  </si>
  <si>
    <t>ROUTER MACHINES</t>
  </si>
  <si>
    <t>GOF130 UPTO 8MM BIT</t>
  </si>
  <si>
    <t>GLM100-25C</t>
  </si>
  <si>
    <t>100M</t>
  </si>
  <si>
    <t>LASER MEASURE</t>
  </si>
  <si>
    <t>GBL 650</t>
  </si>
  <si>
    <t>AG4 GWS 600</t>
  </si>
  <si>
    <t>GWS 900-100</t>
  </si>
  <si>
    <t>AG5 GWS 6-125</t>
  </si>
  <si>
    <t>AG5 GWS 900-125S</t>
  </si>
  <si>
    <t>AG5 GWS 12-125S</t>
  </si>
  <si>
    <t>AG7 GWS2200-180</t>
  </si>
  <si>
    <t>CAR POLISHING GPO 11-180 S</t>
  </si>
  <si>
    <t>ELECTRIC BLOWER</t>
  </si>
  <si>
    <t>PACK QTY</t>
  </si>
  <si>
    <t>SI25A</t>
  </si>
  <si>
    <t>SI35A</t>
  </si>
  <si>
    <t>SI50A</t>
  </si>
  <si>
    <t>15-30</t>
  </si>
  <si>
    <t>SI15-30A VARIABLE</t>
  </si>
  <si>
    <t>VAFG15-30 AUTO FEEDER</t>
  </si>
  <si>
    <t xml:space="preserve">15-30 </t>
  </si>
  <si>
    <t>IMAGE</t>
  </si>
  <si>
    <t>SOLDRON SOLDERING IRONS</t>
  </si>
  <si>
    <t>GSB 600(13mm) 100PC KIT</t>
  </si>
  <si>
    <t>MARBLE CUTTER 4"  SB</t>
  </si>
  <si>
    <t>MARBLE CUTTER 4" / 5" SA</t>
  </si>
  <si>
    <t>MARBLE CUTTER 4" SB</t>
  </si>
  <si>
    <t>1800W</t>
  </si>
  <si>
    <t>DZE06-111</t>
  </si>
  <si>
    <t>800NM</t>
  </si>
  <si>
    <t>CHAINSAW(WO)</t>
  </si>
  <si>
    <t>CORDLESS CHAINSAW</t>
  </si>
  <si>
    <t>BATTERY/CORDLESS IMPACT WRENCH</t>
  </si>
  <si>
    <t>SDH550N</t>
  </si>
  <si>
    <t>STSP125</t>
  </si>
  <si>
    <t>STHM10K</t>
  </si>
  <si>
    <t>SSC22</t>
  </si>
  <si>
    <t>MARBLE CUTTING MACHINE</t>
  </si>
  <si>
    <t>BREAKER MACHINE</t>
  </si>
  <si>
    <t>CUT OFF MACHINE</t>
  </si>
  <si>
    <t>CORDLESS BRUSH CUTTER (W/O) JP PLASTIC</t>
  </si>
  <si>
    <t>ITEM</t>
  </si>
  <si>
    <t>CRODLESS SCREWDRIVER DRILL  35NM</t>
  </si>
  <si>
    <t>LASER DISTANCE METER 40M</t>
  </si>
  <si>
    <t>LASER DISTANCE METER 60M</t>
  </si>
  <si>
    <t>LASER DISTANCE METER 80M</t>
  </si>
  <si>
    <t>LASER DISTANCE METER 100M</t>
  </si>
  <si>
    <t>RL-40A</t>
  </si>
  <si>
    <t>RLA-60</t>
  </si>
  <si>
    <t>RLA-80</t>
  </si>
  <si>
    <t>RLA-100</t>
  </si>
  <si>
    <t>LASER LEVEL</t>
  </si>
  <si>
    <t>GL-02-C</t>
  </si>
  <si>
    <t>LASER LEVEL (2 LINE)</t>
  </si>
  <si>
    <t>GLC 16</t>
  </si>
  <si>
    <t xml:space="preserve">LASER LEVEL   </t>
  </si>
  <si>
    <t>GBH185LI BRUSHLESS</t>
  </si>
  <si>
    <t>GDS18V350</t>
  </si>
  <si>
    <t>350NM</t>
  </si>
  <si>
    <t>HEAT GUN</t>
  </si>
  <si>
    <t>DQB2000</t>
  </si>
  <si>
    <t>BATTERY/CORDLESS IMPACT DRILLING MACHINES</t>
  </si>
  <si>
    <t>BATTERY/CORDLESS SCREWDRIVER MACHINES</t>
  </si>
  <si>
    <t>DCPB358</t>
  </si>
  <si>
    <r>
      <t xml:space="preserve">16.8V </t>
    </r>
    <r>
      <rPr>
        <b/>
        <sz val="11"/>
        <color theme="1"/>
        <rFont val="Calibri"/>
        <family val="2"/>
        <scheme val="minor"/>
      </rPr>
      <t>45NM</t>
    </r>
  </si>
  <si>
    <t>CKT-PS-1200</t>
  </si>
  <si>
    <t>CORDLESS STORM BLOWER</t>
  </si>
  <si>
    <t>AQT 140</t>
  </si>
  <si>
    <t>140BAR</t>
  </si>
  <si>
    <t>ELECTRIC ROTARY HAMMER 2 FUNCTION DEMOLITION MODEL</t>
  </si>
  <si>
    <t>DZC03-26SH</t>
  </si>
  <si>
    <t>750W</t>
  </si>
  <si>
    <t>DISCOUNT</t>
  </si>
  <si>
    <t>DRILLING MACHINE 10MM</t>
  </si>
  <si>
    <t>DRILLING MACHINE 13MM</t>
  </si>
  <si>
    <t>9553NB</t>
  </si>
  <si>
    <t>M9513B</t>
  </si>
  <si>
    <t>M0600B</t>
  </si>
  <si>
    <t>M0801B</t>
  </si>
  <si>
    <t>GLUE GUN</t>
  </si>
  <si>
    <t>GLUE GUN 40W</t>
  </si>
  <si>
    <t>GLUE GUN 60W</t>
  </si>
  <si>
    <t>DIGITAL MULTIMETER</t>
  </si>
  <si>
    <t>DT830D</t>
  </si>
  <si>
    <t>MULTILETER</t>
  </si>
  <si>
    <t xml:space="preserve">ITEM DESCRIPTION </t>
  </si>
  <si>
    <t>ELECTRIC BLOWER VARIABLE</t>
  </si>
  <si>
    <t>PT750</t>
  </si>
  <si>
    <t>PT750PRO</t>
  </si>
  <si>
    <t>PBT-EV-1400</t>
  </si>
  <si>
    <t>DC 125 (4")</t>
  </si>
  <si>
    <t>GLX-801</t>
  </si>
  <si>
    <t>CORDLESS TILE VIBRATOR</t>
  </si>
  <si>
    <t>PBT-CL-TM135</t>
  </si>
  <si>
    <t>PBT-CBL21-TM180</t>
  </si>
  <si>
    <t>CORLDESS TILE VIBRATOR</t>
  </si>
  <si>
    <t>DW803</t>
  </si>
  <si>
    <t>DWE8300S-IN</t>
  </si>
  <si>
    <t>DWE41215</t>
  </si>
  <si>
    <t>TILE VIBRATOR MACHINE 21V</t>
  </si>
  <si>
    <t>TILE VIBRATOR MACHINE CORDLESS</t>
  </si>
  <si>
    <t xml:space="preserve">ELECTRIC BLOWER </t>
  </si>
  <si>
    <t>UTEB40</t>
  </si>
  <si>
    <t xml:space="preserve">ANGLE GRINDER </t>
  </si>
  <si>
    <t>UT-6100</t>
  </si>
  <si>
    <t>UT-801</t>
  </si>
  <si>
    <t xml:space="preserve">DRILL MACHINE 6MM </t>
  </si>
  <si>
    <t>UTDM6</t>
  </si>
  <si>
    <t xml:space="preserve">DRILL MACHINE 10MM </t>
  </si>
  <si>
    <t>UTDM10</t>
  </si>
  <si>
    <t>UTDM10RF</t>
  </si>
  <si>
    <t xml:space="preserve">ROTARY HAMMER </t>
  </si>
  <si>
    <t>UTRH2-20</t>
  </si>
  <si>
    <t>UT-TM30A</t>
  </si>
  <si>
    <t>HAG-2000</t>
  </si>
  <si>
    <t>DRILL MACHINE 13MM</t>
  </si>
  <si>
    <t>UTDM13RF</t>
  </si>
  <si>
    <t>FDDM13RF</t>
  </si>
  <si>
    <r>
      <t xml:space="preserve">IMPACT DRILL </t>
    </r>
    <r>
      <rPr>
        <b/>
        <sz val="11"/>
        <color theme="1"/>
        <rFont val="Calibri"/>
        <family val="2"/>
        <scheme val="minor"/>
      </rPr>
      <t>SET XTCDIDK214</t>
    </r>
  </si>
  <si>
    <t>AG4 GWS 800</t>
  </si>
  <si>
    <t>AG4 WS 650</t>
  </si>
  <si>
    <r>
      <t xml:space="preserve">SCREWDRIVER DRILL </t>
    </r>
    <r>
      <rPr>
        <b/>
        <sz val="11"/>
        <color theme="1"/>
        <rFont val="Calibri"/>
        <family val="2"/>
        <scheme val="minor"/>
      </rPr>
      <t>XTCDKMC284</t>
    </r>
    <r>
      <rPr>
        <sz val="11"/>
        <color theme="1"/>
        <rFont val="Calibri"/>
        <family val="2"/>
        <scheme val="minor"/>
      </rPr>
      <t xml:space="preserve"> METAL CHUCK</t>
    </r>
  </si>
  <si>
    <t xml:space="preserve">CORDLESS ROTARY HAMMER </t>
  </si>
  <si>
    <t>DJZ10A</t>
  </si>
  <si>
    <t>BRAND</t>
  </si>
  <si>
    <t>CORDLESS PRESSURE WASHER BLUE</t>
  </si>
  <si>
    <t>CORDLESS PRESSURE WASHER BLACK</t>
  </si>
  <si>
    <t>CORDLESS BLOWER VIOLENT BLUE</t>
  </si>
  <si>
    <t>CORDLESS BLOWER VIOLENT BLACK</t>
  </si>
  <si>
    <t>CORDLESS LEAF BLOWER BLUE 2 BATTERY</t>
  </si>
  <si>
    <t>BASKETO</t>
  </si>
  <si>
    <t>24mm</t>
  </si>
  <si>
    <t>GBH 2-24 DRE 2.7J</t>
  </si>
  <si>
    <t>GSH 11E</t>
  </si>
  <si>
    <t>DEMOLITION HAMMER</t>
  </si>
  <si>
    <t>D25881</t>
  </si>
  <si>
    <t>DEMOLITION HAMMER 11KG</t>
  </si>
  <si>
    <t>DEMOLITION HAMMERS</t>
  </si>
  <si>
    <t>17.5J</t>
  </si>
  <si>
    <t>16.8J</t>
  </si>
  <si>
    <t>GAS 15PS</t>
  </si>
  <si>
    <t>GAS 12-25</t>
  </si>
  <si>
    <t>GAS 400A</t>
  </si>
  <si>
    <t>CC14STD</t>
  </si>
  <si>
    <t>CUT OFF MACINE 14"</t>
  </si>
  <si>
    <t>CUT OFF MACHINE 14" ECO</t>
  </si>
  <si>
    <t>CC14SG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</si>
</sst>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6600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1" tint="0.74999237037263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Border="1"/>
    <xf numFmtId="0" fontId="0" fillId="0" borderId="1" xfId="0" applyBorder="1" applyAlignment="1">
      <alignment horizontal="left"/>
    </xf>
    <xf numFmtId="0" fontId="1" fillId="0" borderId="0" xfId="0" applyFont="1" applyAlignment="1">
      <alignment horizontal="center"/>
    </xf>
    <xf numFmtId="0" fontId="0" fillId="8" borderId="1" xfId="0" applyFill="1" applyBorder="1"/>
    <xf numFmtId="0" fontId="0" fillId="8" borderId="1" xfId="0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8" borderId="0" xfId="0" applyFill="1"/>
    <xf numFmtId="0" fontId="0" fillId="8" borderId="5" xfId="0" applyFill="1" applyBorder="1" applyAlignment="1">
      <alignment horizontal="left"/>
    </xf>
    <xf numFmtId="0" fontId="0" fillId="8" borderId="5" xfId="0" applyFill="1" applyBorder="1" applyAlignment="1">
      <alignment horizontal="right"/>
    </xf>
    <xf numFmtId="0" fontId="0" fillId="0" borderId="6" xfId="0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8" borderId="1" xfId="0" applyFont="1" applyFill="1" applyBorder="1" applyAlignment="1">
      <alignment horizontal="left"/>
    </xf>
    <xf numFmtId="0" fontId="1" fillId="8" borderId="6" xfId="0" applyFont="1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0" borderId="4" xfId="0" applyBorder="1"/>
    <xf numFmtId="0" fontId="4" fillId="8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0" fillId="21" borderId="1" xfId="0" applyFill="1" applyBorder="1"/>
    <xf numFmtId="0" fontId="0" fillId="0" borderId="6" xfId="0" applyBorder="1"/>
    <xf numFmtId="0" fontId="0" fillId="2" borderId="1" xfId="0" applyFill="1" applyBorder="1"/>
    <xf numFmtId="0" fontId="1" fillId="8" borderId="1" xfId="0" applyFont="1" applyFill="1" applyBorder="1"/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/>
    <xf numFmtId="0" fontId="5" fillId="8" borderId="1" xfId="0" applyFont="1" applyFill="1" applyBorder="1"/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18" borderId="1" xfId="0" applyFont="1" applyFill="1" applyBorder="1" applyAlignment="1">
      <alignment horizontal="center"/>
    </xf>
    <xf numFmtId="0" fontId="1" fillId="18" borderId="1" xfId="0" applyFont="1" applyFill="1" applyBorder="1"/>
    <xf numFmtId="0" fontId="0" fillId="18" borderId="1" xfId="0" applyFill="1" applyBorder="1" applyAlignment="1">
      <alignment horizontal="center"/>
    </xf>
    <xf numFmtId="0" fontId="1" fillId="24" borderId="1" xfId="0" applyFont="1" applyFill="1" applyBorder="1"/>
    <xf numFmtId="0" fontId="0" fillId="24" borderId="1" xfId="0" applyFill="1" applyBorder="1" applyAlignment="1">
      <alignment horizontal="center"/>
    </xf>
    <xf numFmtId="0" fontId="1" fillId="24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3" xfId="0" applyBorder="1"/>
    <xf numFmtId="0" fontId="0" fillId="8" borderId="1" xfId="0" applyFill="1" applyBorder="1" applyAlignment="1">
      <alignment vertical="center"/>
    </xf>
    <xf numFmtId="0" fontId="1" fillId="5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" fillId="22" borderId="1" xfId="0" applyFont="1" applyFill="1" applyBorder="1" applyAlignment="1">
      <alignment horizontal="center"/>
    </xf>
    <xf numFmtId="0" fontId="1" fillId="18" borderId="1" xfId="0" applyFont="1" applyFill="1" applyBorder="1" applyAlignment="1">
      <alignment horizontal="center"/>
    </xf>
    <xf numFmtId="0" fontId="1" fillId="15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1" fillId="16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3" fillId="14" borderId="2" xfId="0" applyFont="1" applyFill="1" applyBorder="1" applyAlignment="1">
      <alignment horizontal="center"/>
    </xf>
    <xf numFmtId="0" fontId="3" fillId="14" borderId="3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0" fontId="1" fillId="21" borderId="3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23" borderId="1" xfId="0" applyFont="1" applyFill="1" applyBorder="1" applyAlignment="1">
      <alignment horizontal="center"/>
    </xf>
    <xf numFmtId="0" fontId="1" fillId="20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/>
    </xf>
    <xf numFmtId="0" fontId="3" fillId="17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1" fillId="15" borderId="2" xfId="0" applyFont="1" applyFill="1" applyBorder="1" applyAlignment="1">
      <alignment horizontal="center"/>
    </xf>
    <xf numFmtId="0" fontId="1" fillId="15" borderId="3" xfId="0" applyFont="1" applyFill="1" applyBorder="1" applyAlignment="1">
      <alignment horizontal="center"/>
    </xf>
    <xf numFmtId="0" fontId="1" fillId="19" borderId="1" xfId="0" applyFont="1" applyFill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13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CCFF"/>
      <color rgb="FFFF7C80"/>
      <color rgb="FF66FF99"/>
      <color rgb="FF6600FF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4" Type="http://schemas.openxmlformats.org/officeDocument/2006/relationships/image" Target="../media/image1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Relationship Id="rId5" Type="http://schemas.openxmlformats.org/officeDocument/2006/relationships/image" Target="../media/image22.png"/><Relationship Id="rId4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173620</xdr:colOff>
      <xdr:row>55</xdr:row>
      <xdr:rowOff>29235</xdr:rowOff>
    </xdr:from>
    <xdr:to>
      <xdr:col>6</xdr:col>
      <xdr:colOff>622138</xdr:colOff>
      <xdr:row>55</xdr:row>
      <xdr:rowOff>570414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5A5D3EC-680F-F5FE-B51B-EC8A5D58E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23481" y="10316235"/>
          <a:ext cx="448518" cy="541179"/>
        </a:xfrm>
        <a:prstGeom prst="rect">
          <a:avLst/>
        </a:prstGeom>
      </xdr:spPr>
    </xdr:pic>
    <xdr:clientData/>
  </xdr:twoCellAnchor>
  <xdr:twoCellAnchor>
    <xdr:from>
      <xdr:col>6</xdr:col>
      <xdr:colOff>86810</xdr:colOff>
      <xdr:row>56</xdr:row>
      <xdr:rowOff>59313</xdr:rowOff>
    </xdr:from>
    <xdr:to>
      <xdr:col>6</xdr:col>
      <xdr:colOff>670367</xdr:colOff>
      <xdr:row>56</xdr:row>
      <xdr:rowOff>547748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DD01472-396B-F0CD-77E3-4C7DB5B1A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6671" y="10920224"/>
          <a:ext cx="583557" cy="488435"/>
        </a:xfrm>
        <a:prstGeom prst="rect">
          <a:avLst/>
        </a:prstGeom>
      </xdr:spPr>
    </xdr:pic>
    <xdr:clientData/>
  </xdr:twoCellAnchor>
  <xdr:twoCellAnchor editAs="oneCell">
    <xdr:from>
      <xdr:col>6</xdr:col>
      <xdr:colOff>101279</xdr:colOff>
      <xdr:row>56</xdr:row>
      <xdr:rowOff>528095</xdr:rowOff>
    </xdr:from>
    <xdr:to>
      <xdr:col>6</xdr:col>
      <xdr:colOff>766823</xdr:colOff>
      <xdr:row>58</xdr:row>
      <xdr:rowOff>45816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4329EC1-7397-2880-007C-D3D265F41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1140" y="11389006"/>
          <a:ext cx="665544" cy="665544"/>
        </a:xfrm>
        <a:prstGeom prst="rect">
          <a:avLst/>
        </a:prstGeom>
      </xdr:spPr>
    </xdr:pic>
    <xdr:clientData/>
  </xdr:twoCellAnchor>
  <xdr:twoCellAnchor>
    <xdr:from>
      <xdr:col>2</xdr:col>
      <xdr:colOff>477457</xdr:colOff>
      <xdr:row>52</xdr:row>
      <xdr:rowOff>19291</xdr:rowOff>
    </xdr:from>
    <xdr:to>
      <xdr:col>7</xdr:col>
      <xdr:colOff>0</xdr:colOff>
      <xdr:row>54</xdr:row>
      <xdr:rowOff>188088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691A6EB-BF28-FBF5-9BC8-86E02F3022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1634" y="9549114"/>
          <a:ext cx="925974" cy="9259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</xdr:colOff>
      <xdr:row>8</xdr:row>
      <xdr:rowOff>441960</xdr:rowOff>
    </xdr:from>
    <xdr:to>
      <xdr:col>2</xdr:col>
      <xdr:colOff>891540</xdr:colOff>
      <xdr:row>10</xdr:row>
      <xdr:rowOff>160020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D2D5FC58-CDE1-B4E4-DBB3-F255F3FF5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8560" y="1905000"/>
          <a:ext cx="861060" cy="861060"/>
        </a:xfrm>
        <a:prstGeom prst="rect">
          <a:avLst/>
        </a:prstGeom>
      </xdr:spPr>
    </xdr:pic>
    <xdr:clientData/>
  </xdr:twoCellAnchor>
  <xdr:twoCellAnchor>
    <xdr:from>
      <xdr:col>2</xdr:col>
      <xdr:colOff>190502</xdr:colOff>
      <xdr:row>14</xdr:row>
      <xdr:rowOff>502920</xdr:rowOff>
    </xdr:from>
    <xdr:to>
      <xdr:col>2</xdr:col>
      <xdr:colOff>876300</xdr:colOff>
      <xdr:row>16</xdr:row>
      <xdr:rowOff>45718</xdr:rowOff>
    </xdr:to>
    <xdr:pic>
      <xdr:nvPicPr>
        <xdr:cNvPr id="14" name="Picture 4">
          <a:extLst>
            <a:ext uri="{FF2B5EF4-FFF2-40B4-BE49-F238E27FC236}">
              <a16:creationId xmlns:a16="http://schemas.microsoft.com/office/drawing/2014/main" id="{AC1C10E1-89B0-B7E5-1702-206DE432B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8582" y="4229100"/>
          <a:ext cx="685798" cy="685798"/>
        </a:xfrm>
        <a:prstGeom prst="rect">
          <a:avLst/>
        </a:prstGeom>
      </xdr:spPr>
    </xdr:pic>
    <xdr:clientData/>
  </xdr:twoCellAnchor>
  <xdr:twoCellAnchor>
    <xdr:from>
      <xdr:col>2</xdr:col>
      <xdr:colOff>152400</xdr:colOff>
      <xdr:row>13</xdr:row>
      <xdr:rowOff>502920</xdr:rowOff>
    </xdr:from>
    <xdr:to>
      <xdr:col>2</xdr:col>
      <xdr:colOff>830580</xdr:colOff>
      <xdr:row>15</xdr:row>
      <xdr:rowOff>38100</xdr:rowOff>
    </xdr:to>
    <xdr:pic>
      <xdr:nvPicPr>
        <xdr:cNvPr id="10" name="Picture 6">
          <a:extLst>
            <a:ext uri="{FF2B5EF4-FFF2-40B4-BE49-F238E27FC236}">
              <a16:creationId xmlns:a16="http://schemas.microsoft.com/office/drawing/2014/main" id="{6BF4532B-7862-E6F1-5DD8-7DBF0EA4D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0480" y="3657600"/>
          <a:ext cx="678180" cy="678180"/>
        </a:xfrm>
        <a:prstGeom prst="rect">
          <a:avLst/>
        </a:prstGeom>
      </xdr:spPr>
    </xdr:pic>
    <xdr:clientData/>
  </xdr:twoCellAnchor>
  <xdr:twoCellAnchor>
    <xdr:from>
      <xdr:col>2</xdr:col>
      <xdr:colOff>121921</xdr:colOff>
      <xdr:row>13</xdr:row>
      <xdr:rowOff>22860</xdr:rowOff>
    </xdr:from>
    <xdr:to>
      <xdr:col>2</xdr:col>
      <xdr:colOff>662940</xdr:colOff>
      <xdr:row>13</xdr:row>
      <xdr:rowOff>561975</xdr:rowOff>
    </xdr:to>
    <xdr:pic>
      <xdr:nvPicPr>
        <xdr:cNvPr id="15" name="Picture 8">
          <a:extLst>
            <a:ext uri="{FF2B5EF4-FFF2-40B4-BE49-F238E27FC236}">
              <a16:creationId xmlns:a16="http://schemas.microsoft.com/office/drawing/2014/main" id="{26853442-FFEF-CC70-554F-66A79FFCA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1" y="3177540"/>
          <a:ext cx="541019" cy="5391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14</xdr:row>
      <xdr:rowOff>129540</xdr:rowOff>
    </xdr:from>
    <xdr:to>
      <xdr:col>4</xdr:col>
      <xdr:colOff>876300</xdr:colOff>
      <xdr:row>16</xdr:row>
      <xdr:rowOff>99060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EFBDCD-1AEC-9652-A8BA-90BEA676DA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2880" y="2689860"/>
          <a:ext cx="723900" cy="723900"/>
        </a:xfrm>
        <a:prstGeom prst="rect">
          <a:avLst/>
        </a:prstGeom>
      </xdr:spPr>
    </xdr:pic>
    <xdr:clientData/>
  </xdr:twoCellAnchor>
  <xdr:twoCellAnchor>
    <xdr:from>
      <xdr:col>4</xdr:col>
      <xdr:colOff>26736</xdr:colOff>
      <xdr:row>3</xdr:row>
      <xdr:rowOff>83820</xdr:rowOff>
    </xdr:from>
    <xdr:to>
      <xdr:col>4</xdr:col>
      <xdr:colOff>967739</xdr:colOff>
      <xdr:row>3</xdr:row>
      <xdr:rowOff>525050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0F54511-ABCD-0D76-4468-7DBA3CF49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7283" y="629252"/>
          <a:ext cx="941003" cy="44123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697395</xdr:colOff>
      <xdr:row>13</xdr:row>
      <xdr:rowOff>83820</xdr:rowOff>
    </xdr:from>
    <xdr:to>
      <xdr:col>4</xdr:col>
      <xdr:colOff>26276</xdr:colOff>
      <xdr:row>15</xdr:row>
      <xdr:rowOff>87587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6612C7-4D72-7DAC-A09E-CA2BF86C0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7096" y="2474923"/>
          <a:ext cx="759456" cy="759928"/>
        </a:xfrm>
        <a:prstGeom prst="rect">
          <a:avLst/>
        </a:prstGeom>
      </xdr:spPr>
    </xdr:pic>
    <xdr:clientData/>
  </xdr:twoCellAnchor>
  <xdr:twoCellAnchor>
    <xdr:from>
      <xdr:col>2</xdr:col>
      <xdr:colOff>714234</xdr:colOff>
      <xdr:row>27</xdr:row>
      <xdr:rowOff>131425</xdr:rowOff>
    </xdr:from>
    <xdr:to>
      <xdr:col>4</xdr:col>
      <xdr:colOff>32916</xdr:colOff>
      <xdr:row>28</xdr:row>
      <xdr:rowOff>552710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29A5A93-E756-BAA5-6E90-861B90BBA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6302" y="5417338"/>
          <a:ext cx="750528" cy="602537"/>
        </a:xfrm>
        <a:prstGeom prst="rect">
          <a:avLst/>
        </a:prstGeom>
      </xdr:spPr>
    </xdr:pic>
    <xdr:clientData/>
  </xdr:twoCellAnchor>
  <xdr:twoCellAnchor>
    <xdr:from>
      <xdr:col>2</xdr:col>
      <xdr:colOff>714235</xdr:colOff>
      <xdr:row>28</xdr:row>
      <xdr:rowOff>571336</xdr:rowOff>
    </xdr:from>
    <xdr:to>
      <xdr:col>3</xdr:col>
      <xdr:colOff>713590</xdr:colOff>
      <xdr:row>29</xdr:row>
      <xdr:rowOff>570882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DAF4AA0-AAA7-D230-C216-A7F3C8426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6303" y="6038501"/>
          <a:ext cx="713590" cy="572896"/>
        </a:xfrm>
        <a:prstGeom prst="rect">
          <a:avLst/>
        </a:prstGeom>
      </xdr:spPr>
    </xdr:pic>
    <xdr:clientData/>
  </xdr:twoCellAnchor>
  <xdr:twoCellAnchor>
    <xdr:from>
      <xdr:col>0</xdr:col>
      <xdr:colOff>2905124</xdr:colOff>
      <xdr:row>41</xdr:row>
      <xdr:rowOff>55215</xdr:rowOff>
    </xdr:from>
    <xdr:to>
      <xdr:col>4</xdr:col>
      <xdr:colOff>23614</xdr:colOff>
      <xdr:row>43</xdr:row>
      <xdr:rowOff>92478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AEC3067-3482-ABE8-A58C-08F3ED573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5124" y="8730292"/>
          <a:ext cx="800269" cy="79193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259079</xdr:colOff>
      <xdr:row>2</xdr:row>
      <xdr:rowOff>554935</xdr:rowOff>
    </xdr:from>
    <xdr:to>
      <xdr:col>2</xdr:col>
      <xdr:colOff>862384</xdr:colOff>
      <xdr:row>4</xdr:row>
      <xdr:rowOff>15240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B8FE6C-3682-43EA-1995-7A8C04253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3970" y="919370"/>
          <a:ext cx="603305" cy="603305"/>
        </a:xfrm>
        <a:prstGeom prst="rect">
          <a:avLst/>
        </a:prstGeom>
      </xdr:spPr>
    </xdr:pic>
    <xdr:clientData/>
  </xdr:twoCellAnchor>
  <xdr:twoCellAnchor editAs="oneCell">
    <xdr:from>
      <xdr:col>2</xdr:col>
      <xdr:colOff>346155</xdr:colOff>
      <xdr:row>1</xdr:row>
      <xdr:rowOff>172483</xdr:rowOff>
    </xdr:from>
    <xdr:to>
      <xdr:col>2</xdr:col>
      <xdr:colOff>790989</xdr:colOff>
      <xdr:row>3</xdr:row>
      <xdr:rowOff>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E582409-1DC0-0DCB-7DC5-51362541E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1046" y="354700"/>
          <a:ext cx="444834" cy="58123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167641</xdr:colOff>
      <xdr:row>7</xdr:row>
      <xdr:rowOff>0</xdr:rowOff>
    </xdr:from>
    <xdr:to>
      <xdr:col>2</xdr:col>
      <xdr:colOff>563880</xdr:colOff>
      <xdr:row>7</xdr:row>
      <xdr:rowOff>541929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23FEFA-0BEA-EB6E-F929-F128774BE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74721" y="1280160"/>
          <a:ext cx="396239" cy="54192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22859</xdr:colOff>
      <xdr:row>0</xdr:row>
      <xdr:rowOff>7622</xdr:rowOff>
    </xdr:from>
    <xdr:to>
      <xdr:col>1</xdr:col>
      <xdr:colOff>1059180</xdr:colOff>
      <xdr:row>3</xdr:row>
      <xdr:rowOff>320041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AE2B78-C753-8DD0-1ECC-2D82B32D2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0279" y="7622"/>
          <a:ext cx="1036321" cy="1120139"/>
        </a:xfrm>
        <a:prstGeom prst="rect">
          <a:avLst/>
        </a:prstGeom>
      </xdr:spPr>
    </xdr:pic>
    <xdr:clientData/>
  </xdr:twoCellAnchor>
  <xdr:twoCellAnchor>
    <xdr:from>
      <xdr:col>1</xdr:col>
      <xdr:colOff>45720</xdr:colOff>
      <xdr:row>3</xdr:row>
      <xdr:rowOff>15240</xdr:rowOff>
    </xdr:from>
    <xdr:to>
      <xdr:col>1</xdr:col>
      <xdr:colOff>1048623</xdr:colOff>
      <xdr:row>4</xdr:row>
      <xdr:rowOff>7620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4094772-89DC-47EE-933B-DBA2A78473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3140" y="822960"/>
          <a:ext cx="1002903" cy="434340"/>
        </a:xfrm>
        <a:prstGeom prst="rect">
          <a:avLst/>
        </a:prstGeom>
      </xdr:spPr>
    </xdr:pic>
    <xdr:clientData/>
  </xdr:twoCellAnchor>
  <xdr:twoCellAnchor>
    <xdr:from>
      <xdr:col>0</xdr:col>
      <xdr:colOff>2188742</xdr:colOff>
      <xdr:row>3</xdr:row>
      <xdr:rowOff>411480</xdr:rowOff>
    </xdr:from>
    <xdr:to>
      <xdr:col>2</xdr:col>
      <xdr:colOff>4654</xdr:colOff>
      <xdr:row>5</xdr:row>
      <xdr:rowOff>22860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1872377-7DDA-45C9-D086-6CA90745E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8742" y="1219200"/>
          <a:ext cx="1107752" cy="495300"/>
        </a:xfrm>
        <a:prstGeom prst="rect">
          <a:avLst/>
        </a:prstGeom>
      </xdr:spPr>
    </xdr:pic>
    <xdr:clientData/>
  </xdr:twoCellAnchor>
  <xdr:twoCellAnchor>
    <xdr:from>
      <xdr:col>1</xdr:col>
      <xdr:colOff>6916</xdr:colOff>
      <xdr:row>5</xdr:row>
      <xdr:rowOff>7620</xdr:rowOff>
    </xdr:from>
    <xdr:to>
      <xdr:col>2</xdr:col>
      <xdr:colOff>1304</xdr:colOff>
      <xdr:row>5</xdr:row>
      <xdr:rowOff>403861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D7ADC9E-E294-1B18-00D6-FA2E1FE3D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4336" y="1699260"/>
          <a:ext cx="1068808" cy="396241"/>
        </a:xfrm>
        <a:prstGeom prst="rect">
          <a:avLst/>
        </a:prstGeom>
      </xdr:spPr>
    </xdr:pic>
    <xdr:clientData/>
  </xdr:twoCellAnchor>
  <xdr:twoCellAnchor>
    <xdr:from>
      <xdr:col>1</xdr:col>
      <xdr:colOff>91440</xdr:colOff>
      <xdr:row>6</xdr:row>
      <xdr:rowOff>15240</xdr:rowOff>
    </xdr:from>
    <xdr:to>
      <xdr:col>1</xdr:col>
      <xdr:colOff>967740</xdr:colOff>
      <xdr:row>7</xdr:row>
      <xdr:rowOff>238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2E9854-6E8D-23D2-2CA1-8FD1356CC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8860" y="2148840"/>
          <a:ext cx="876300" cy="6174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9FF39-2BF1-4F1D-847A-357AA86A675D}">
  <sheetPr>
    <tabColor theme="4" tint="-0.249977111117893"/>
  </sheetPr>
  <dimension ref="A1:G58"/>
  <sheetViews>
    <sheetView zoomScale="158" zoomScaleNormal="158" workbookViewId="0">
      <selection activeCell="H1" sqref="H1:I1048576"/>
    </sheetView>
  </sheetViews>
  <sheetFormatPr defaultColWidth="8.5546875" defaultRowHeight="14.4" x14ac:dyDescent="0.3"/>
  <cols>
    <col min="1" max="1" width="33.44140625" style="4" customWidth="1"/>
    <col min="2" max="2" width="16.44140625" style="6" customWidth="1"/>
    <col min="3" max="3" width="7.6640625" style="10" customWidth="1"/>
    <col min="4" max="6" width="8.88671875" style="6" hidden="1" customWidth="1"/>
    <col min="7" max="7" width="12" style="6" customWidth="1"/>
  </cols>
  <sheetData>
    <row r="1" spans="1:7" s="6" customFormat="1" x14ac:dyDescent="0.3">
      <c r="A1" s="5" t="s">
        <v>0</v>
      </c>
      <c r="B1" s="1" t="s">
        <v>230</v>
      </c>
      <c r="C1" s="1" t="s">
        <v>87</v>
      </c>
      <c r="D1" s="1" t="s">
        <v>1</v>
      </c>
      <c r="E1" s="1" t="s">
        <v>36</v>
      </c>
      <c r="F1" s="1" t="s">
        <v>32</v>
      </c>
      <c r="G1" s="1" t="s">
        <v>373</v>
      </c>
    </row>
    <row r="2" spans="1:7" s="6" customFormat="1" x14ac:dyDescent="0.3">
      <c r="A2" s="57" t="s">
        <v>42</v>
      </c>
      <c r="B2" s="57"/>
      <c r="C2" s="57"/>
      <c r="D2" s="57"/>
      <c r="E2" s="57"/>
      <c r="F2" s="57"/>
      <c r="G2" s="57"/>
    </row>
    <row r="3" spans="1:7" s="6" customFormat="1" x14ac:dyDescent="0.3">
      <c r="A3" s="5" t="s">
        <v>357</v>
      </c>
      <c r="B3" s="3"/>
      <c r="C3" s="1">
        <v>600</v>
      </c>
      <c r="D3" s="3">
        <v>1850</v>
      </c>
      <c r="E3" s="3">
        <f>D3+(D3*0.18)</f>
        <v>2183</v>
      </c>
      <c r="F3" s="3">
        <f>E3+(E3*0.05)</f>
        <v>2292.15</v>
      </c>
      <c r="G3" s="3"/>
    </row>
    <row r="4" spans="1:7" s="6" customFormat="1" x14ac:dyDescent="0.3">
      <c r="A4" s="43" t="s">
        <v>472</v>
      </c>
      <c r="B4" s="44"/>
      <c r="C4" s="45">
        <v>650</v>
      </c>
      <c r="D4" s="44">
        <v>1460</v>
      </c>
      <c r="E4" s="44">
        <f>D4+(D4*0.18)</f>
        <v>1722.8</v>
      </c>
      <c r="F4" s="44">
        <f>E4+(E4*0.05)</f>
        <v>1808.94</v>
      </c>
      <c r="G4" s="44"/>
    </row>
    <row r="5" spans="1:7" s="6" customFormat="1" x14ac:dyDescent="0.3">
      <c r="A5" s="5" t="s">
        <v>471</v>
      </c>
      <c r="B5" s="3"/>
      <c r="C5" s="1">
        <v>800</v>
      </c>
      <c r="D5" s="3">
        <v>2150</v>
      </c>
      <c r="E5" s="3">
        <f t="shared" ref="E5:E6" si="0">D5+(D5*0.18)</f>
        <v>2537</v>
      </c>
      <c r="F5" s="3">
        <f t="shared" ref="F5:F6" si="1">E5+(E5*0.05)</f>
        <v>2663.85</v>
      </c>
      <c r="G5" s="3"/>
    </row>
    <row r="6" spans="1:7" s="6" customFormat="1" x14ac:dyDescent="0.3">
      <c r="A6" s="5" t="s">
        <v>358</v>
      </c>
      <c r="B6" s="3"/>
      <c r="C6" s="1">
        <v>900</v>
      </c>
      <c r="D6" s="3">
        <v>3420</v>
      </c>
      <c r="E6" s="3">
        <f t="shared" si="0"/>
        <v>4035.6</v>
      </c>
      <c r="F6" s="3">
        <f t="shared" si="1"/>
        <v>4237.38</v>
      </c>
      <c r="G6" s="3"/>
    </row>
    <row r="7" spans="1:7" s="6" customFormat="1" x14ac:dyDescent="0.3">
      <c r="A7" s="5" t="s">
        <v>359</v>
      </c>
      <c r="B7" s="3"/>
      <c r="C7" s="1">
        <v>670</v>
      </c>
      <c r="D7" s="3">
        <v>3060</v>
      </c>
      <c r="E7" s="3">
        <f t="shared" ref="E7:E24" si="2">D7+(D7*0.18)</f>
        <v>3610.8</v>
      </c>
      <c r="F7" s="3">
        <f t="shared" ref="F7:F24" si="3">E7+(E7*0.05)</f>
        <v>3791.34</v>
      </c>
      <c r="G7" s="3"/>
    </row>
    <row r="8" spans="1:7" s="6" customFormat="1" x14ac:dyDescent="0.3">
      <c r="A8" s="5" t="s">
        <v>360</v>
      </c>
      <c r="B8" s="3"/>
      <c r="C8" s="1">
        <v>900</v>
      </c>
      <c r="D8" s="3">
        <v>4360</v>
      </c>
      <c r="E8" s="3">
        <f t="shared" si="2"/>
        <v>5144.8</v>
      </c>
      <c r="F8" s="3">
        <f t="shared" si="3"/>
        <v>5402.04</v>
      </c>
      <c r="G8" s="3"/>
    </row>
    <row r="9" spans="1:7" s="6" customFormat="1" x14ac:dyDescent="0.3">
      <c r="A9" s="5" t="s">
        <v>361</v>
      </c>
      <c r="B9" s="3"/>
      <c r="C9" s="1">
        <v>1200</v>
      </c>
      <c r="D9" s="3">
        <v>4590</v>
      </c>
      <c r="E9" s="3">
        <f t="shared" si="2"/>
        <v>5416.2</v>
      </c>
      <c r="F9" s="3">
        <f t="shared" si="3"/>
        <v>5687.01</v>
      </c>
      <c r="G9" s="3"/>
    </row>
    <row r="10" spans="1:7" s="6" customFormat="1" x14ac:dyDescent="0.3">
      <c r="A10" s="5" t="s">
        <v>362</v>
      </c>
      <c r="B10" s="3"/>
      <c r="C10" s="1">
        <v>2200</v>
      </c>
      <c r="D10" s="3">
        <v>6650</v>
      </c>
      <c r="E10" s="3">
        <f t="shared" si="2"/>
        <v>7847</v>
      </c>
      <c r="F10" s="3">
        <f t="shared" si="3"/>
        <v>8239.35</v>
      </c>
      <c r="G10" s="3"/>
    </row>
    <row r="11" spans="1:7" s="6" customFormat="1" x14ac:dyDescent="0.3">
      <c r="A11" s="57" t="s">
        <v>302</v>
      </c>
      <c r="B11" s="57"/>
      <c r="C11" s="57"/>
      <c r="D11" s="57"/>
      <c r="E11" s="57"/>
      <c r="F11" s="57"/>
      <c r="G11" s="57"/>
    </row>
    <row r="12" spans="1:7" s="6" customFormat="1" x14ac:dyDescent="0.3">
      <c r="A12" s="5" t="s">
        <v>363</v>
      </c>
      <c r="B12" s="3"/>
      <c r="C12" s="1">
        <v>1100</v>
      </c>
      <c r="D12" s="3">
        <v>6100</v>
      </c>
      <c r="E12" s="3">
        <f t="shared" si="2"/>
        <v>7198</v>
      </c>
      <c r="F12" s="3">
        <f t="shared" si="3"/>
        <v>7557.9</v>
      </c>
      <c r="G12" s="3"/>
    </row>
    <row r="13" spans="1:7" s="6" customFormat="1" x14ac:dyDescent="0.3">
      <c r="A13" s="57" t="s">
        <v>43</v>
      </c>
      <c r="B13" s="57"/>
      <c r="C13" s="57"/>
      <c r="D13" s="57"/>
      <c r="E13" s="57"/>
      <c r="F13" s="57"/>
      <c r="G13" s="57"/>
    </row>
    <row r="14" spans="1:7" s="6" customFormat="1" x14ac:dyDescent="0.3">
      <c r="A14" s="5" t="s">
        <v>40</v>
      </c>
      <c r="B14" s="3"/>
      <c r="C14" s="1">
        <v>1400</v>
      </c>
      <c r="D14" s="3">
        <v>3200</v>
      </c>
      <c r="E14" s="3">
        <f t="shared" si="2"/>
        <v>3776</v>
      </c>
      <c r="F14" s="3">
        <f t="shared" si="3"/>
        <v>3964.8</v>
      </c>
      <c r="G14" s="3"/>
    </row>
    <row r="15" spans="1:7" s="6" customFormat="1" x14ac:dyDescent="0.3">
      <c r="A15" s="5" t="s">
        <v>41</v>
      </c>
      <c r="B15" s="3"/>
      <c r="C15" s="1">
        <v>1450</v>
      </c>
      <c r="D15" s="3">
        <v>3450</v>
      </c>
      <c r="E15" s="3">
        <f t="shared" si="2"/>
        <v>4071</v>
      </c>
      <c r="F15" s="3">
        <f t="shared" si="3"/>
        <v>4274.55</v>
      </c>
      <c r="G15" s="3"/>
    </row>
    <row r="16" spans="1:7" s="6" customFormat="1" x14ac:dyDescent="0.3">
      <c r="A16" s="41" t="s">
        <v>442</v>
      </c>
      <c r="B16" s="42"/>
      <c r="C16" s="40">
        <v>1250</v>
      </c>
      <c r="D16" s="42">
        <v>2280</v>
      </c>
      <c r="E16" s="42">
        <f t="shared" si="2"/>
        <v>2690.4</v>
      </c>
      <c r="F16" s="42">
        <f t="shared" si="3"/>
        <v>2824.92</v>
      </c>
      <c r="G16" s="42"/>
    </row>
    <row r="17" spans="1:7" s="6" customFormat="1" x14ac:dyDescent="0.3">
      <c r="A17" s="57" t="s">
        <v>3</v>
      </c>
      <c r="B17" s="57"/>
      <c r="C17" s="57"/>
      <c r="D17" s="57"/>
      <c r="E17" s="57"/>
      <c r="F17" s="57"/>
      <c r="G17" s="57"/>
    </row>
    <row r="18" spans="1:7" s="6" customFormat="1" x14ac:dyDescent="0.3">
      <c r="A18" s="5" t="s">
        <v>38</v>
      </c>
      <c r="B18" s="3"/>
      <c r="C18" s="1">
        <v>450</v>
      </c>
      <c r="D18" s="3">
        <v>1970</v>
      </c>
      <c r="E18" s="3">
        <f t="shared" si="2"/>
        <v>2324.6</v>
      </c>
      <c r="F18" s="3">
        <f t="shared" si="3"/>
        <v>2440.83</v>
      </c>
      <c r="G18" s="3"/>
    </row>
    <row r="19" spans="1:7" s="6" customFormat="1" x14ac:dyDescent="0.3">
      <c r="A19" s="5" t="s">
        <v>262</v>
      </c>
      <c r="B19" s="3"/>
      <c r="C19" s="1">
        <v>500</v>
      </c>
      <c r="D19" s="3">
        <v>3200</v>
      </c>
      <c r="E19" s="3">
        <f t="shared" si="2"/>
        <v>3776</v>
      </c>
      <c r="F19" s="3">
        <f t="shared" si="3"/>
        <v>3964.8</v>
      </c>
      <c r="G19" s="3"/>
    </row>
    <row r="20" spans="1:7" s="6" customFormat="1" x14ac:dyDescent="0.3">
      <c r="A20" s="5" t="s">
        <v>39</v>
      </c>
      <c r="B20" s="3"/>
      <c r="C20" s="1">
        <v>600</v>
      </c>
      <c r="D20" s="3">
        <v>2200</v>
      </c>
      <c r="E20" s="3">
        <f t="shared" si="2"/>
        <v>2596</v>
      </c>
      <c r="F20" s="3">
        <f t="shared" si="3"/>
        <v>2725.8</v>
      </c>
      <c r="G20" s="3"/>
    </row>
    <row r="21" spans="1:7" s="6" customFormat="1" x14ac:dyDescent="0.3">
      <c r="A21" s="5" t="s">
        <v>375</v>
      </c>
      <c r="B21" s="3"/>
      <c r="C21" s="1">
        <v>600</v>
      </c>
      <c r="D21" s="3">
        <v>3970</v>
      </c>
      <c r="E21" s="3">
        <f t="shared" si="2"/>
        <v>4684.6000000000004</v>
      </c>
      <c r="F21" s="3">
        <f t="shared" si="3"/>
        <v>4918.83</v>
      </c>
      <c r="G21" s="3"/>
    </row>
    <row r="22" spans="1:7" s="6" customFormat="1" x14ac:dyDescent="0.3">
      <c r="A22" s="57" t="s">
        <v>271</v>
      </c>
      <c r="B22" s="57"/>
      <c r="C22" s="57"/>
      <c r="D22" s="57"/>
      <c r="E22" s="57"/>
      <c r="F22" s="57"/>
      <c r="G22" s="57"/>
    </row>
    <row r="23" spans="1:7" s="6" customFormat="1" x14ac:dyDescent="0.3">
      <c r="A23" s="5" t="s">
        <v>270</v>
      </c>
      <c r="B23" s="3" t="s">
        <v>272</v>
      </c>
      <c r="C23" s="1">
        <v>720</v>
      </c>
      <c r="D23" s="3">
        <v>3800</v>
      </c>
      <c r="E23" s="3">
        <f t="shared" si="2"/>
        <v>4484</v>
      </c>
      <c r="F23" s="3">
        <f t="shared" si="3"/>
        <v>4708.2</v>
      </c>
      <c r="G23" s="3"/>
    </row>
    <row r="24" spans="1:7" s="6" customFormat="1" x14ac:dyDescent="0.3">
      <c r="A24" s="5" t="s">
        <v>484</v>
      </c>
      <c r="B24" s="3" t="s">
        <v>483</v>
      </c>
      <c r="C24" s="1">
        <v>790</v>
      </c>
      <c r="D24" s="3">
        <v>9150</v>
      </c>
      <c r="E24" s="3">
        <f t="shared" si="2"/>
        <v>10797</v>
      </c>
      <c r="F24" s="3">
        <f t="shared" si="3"/>
        <v>11336.85</v>
      </c>
      <c r="G24" s="3"/>
    </row>
    <row r="25" spans="1:7" x14ac:dyDescent="0.3">
      <c r="A25" s="57" t="s">
        <v>37</v>
      </c>
      <c r="B25" s="57"/>
      <c r="C25" s="57"/>
      <c r="D25" s="57"/>
      <c r="E25" s="57"/>
      <c r="F25" s="57"/>
      <c r="G25" s="57"/>
    </row>
    <row r="26" spans="1:7" x14ac:dyDescent="0.3">
      <c r="A26" s="5" t="s">
        <v>273</v>
      </c>
      <c r="B26" s="3"/>
      <c r="C26" s="1">
        <v>2200</v>
      </c>
      <c r="D26" s="3">
        <v>9050</v>
      </c>
      <c r="E26" s="3">
        <f>D26+(D26*0.18)</f>
        <v>10679</v>
      </c>
      <c r="F26" s="3">
        <f>E26+(E26*0.05)</f>
        <v>11212.95</v>
      </c>
      <c r="G26" s="3"/>
    </row>
    <row r="27" spans="1:7" x14ac:dyDescent="0.3">
      <c r="A27" s="5" t="s">
        <v>274</v>
      </c>
      <c r="B27" s="3"/>
      <c r="C27" s="1">
        <v>2400</v>
      </c>
      <c r="D27" s="3">
        <v>11370</v>
      </c>
      <c r="E27" s="3">
        <f>D27+(D27*0.18)</f>
        <v>13416.6</v>
      </c>
      <c r="F27" s="3">
        <f>E27+(E27*0.05)</f>
        <v>14087.43</v>
      </c>
      <c r="G27" s="3"/>
    </row>
    <row r="28" spans="1:7" x14ac:dyDescent="0.3">
      <c r="A28" s="57" t="s">
        <v>229</v>
      </c>
      <c r="B28" s="57"/>
      <c r="C28" s="57"/>
      <c r="D28" s="57"/>
      <c r="E28" s="57"/>
      <c r="F28" s="57"/>
      <c r="G28" s="57"/>
    </row>
    <row r="29" spans="1:7" x14ac:dyDescent="0.3">
      <c r="A29" s="34" t="s">
        <v>233</v>
      </c>
      <c r="B29" s="26"/>
      <c r="C29" s="27">
        <v>1800</v>
      </c>
      <c r="D29" s="26">
        <v>2090</v>
      </c>
      <c r="E29" s="3">
        <f>D29+(D29*0.18)</f>
        <v>2466.1999999999998</v>
      </c>
      <c r="F29" s="3">
        <f>E29+(E29*0.05)</f>
        <v>2589.5099999999998</v>
      </c>
      <c r="G29" s="3"/>
    </row>
    <row r="30" spans="1:7" x14ac:dyDescent="0.3">
      <c r="A30" s="5" t="s">
        <v>227</v>
      </c>
      <c r="B30" s="3" t="s">
        <v>231</v>
      </c>
      <c r="C30" s="1">
        <v>2000</v>
      </c>
      <c r="D30" s="3">
        <v>6850</v>
      </c>
      <c r="E30" s="3">
        <f>D30+(D30*0.18)</f>
        <v>8083</v>
      </c>
      <c r="F30" s="3">
        <f>E30+(E30*0.05)</f>
        <v>8487.15</v>
      </c>
      <c r="G30" s="3"/>
    </row>
    <row r="31" spans="1:7" x14ac:dyDescent="0.3">
      <c r="A31" s="5" t="s">
        <v>228</v>
      </c>
      <c r="B31" s="3" t="s">
        <v>231</v>
      </c>
      <c r="C31" s="1">
        <v>2000</v>
      </c>
      <c r="D31" s="3">
        <v>6500</v>
      </c>
      <c r="E31" s="3">
        <f>D31+(D31*0.18)</f>
        <v>7670</v>
      </c>
      <c r="F31" s="3">
        <f>E31+(E31*0.05)</f>
        <v>8053.5</v>
      </c>
      <c r="G31" s="3"/>
    </row>
    <row r="32" spans="1:7" x14ac:dyDescent="0.3">
      <c r="A32" s="57" t="s">
        <v>244</v>
      </c>
      <c r="B32" s="57"/>
      <c r="C32" s="57"/>
      <c r="D32" s="57"/>
      <c r="E32" s="57"/>
      <c r="F32" s="57"/>
      <c r="G32" s="57"/>
    </row>
    <row r="33" spans="1:7" x14ac:dyDescent="0.3">
      <c r="A33" s="5" t="s">
        <v>243</v>
      </c>
      <c r="B33" s="3"/>
      <c r="C33" s="1">
        <v>290</v>
      </c>
      <c r="D33" s="3">
        <v>3520</v>
      </c>
      <c r="E33" s="3">
        <f>D33+(D33*0.18)</f>
        <v>4153.6000000000004</v>
      </c>
      <c r="F33" s="3">
        <f>E33+(E33*0.05)</f>
        <v>4361.2800000000007</v>
      </c>
      <c r="G33" s="3"/>
    </row>
    <row r="34" spans="1:7" x14ac:dyDescent="0.3">
      <c r="A34" s="57" t="s">
        <v>249</v>
      </c>
      <c r="B34" s="57"/>
      <c r="C34" s="57"/>
      <c r="D34" s="57"/>
      <c r="E34" s="57"/>
      <c r="F34" s="57"/>
      <c r="G34" s="57"/>
    </row>
    <row r="35" spans="1:7" x14ac:dyDescent="0.3">
      <c r="A35" s="5" t="s">
        <v>246</v>
      </c>
      <c r="B35" s="3"/>
      <c r="C35" s="1">
        <v>1300</v>
      </c>
      <c r="D35" s="3">
        <v>5550</v>
      </c>
      <c r="E35" s="3">
        <f>D35+(D35*0.18)</f>
        <v>6549</v>
      </c>
      <c r="F35" s="3">
        <f>E35+(E35*0.05)</f>
        <v>6876.45</v>
      </c>
      <c r="G35" s="3"/>
    </row>
    <row r="36" spans="1:7" x14ac:dyDescent="0.3">
      <c r="A36" s="57" t="s">
        <v>88</v>
      </c>
      <c r="B36" s="57"/>
      <c r="C36" s="57"/>
      <c r="D36" s="57"/>
      <c r="E36" s="57"/>
      <c r="F36" s="57"/>
      <c r="G36" s="57"/>
    </row>
    <row r="37" spans="1:7" x14ac:dyDescent="0.3">
      <c r="A37" s="31" t="s">
        <v>333</v>
      </c>
      <c r="B37" s="13"/>
      <c r="C37" s="13" t="s">
        <v>98</v>
      </c>
      <c r="D37" s="13">
        <v>3800</v>
      </c>
      <c r="E37" s="3">
        <f t="shared" ref="E37:E38" si="4">D37+(D37*0.18)</f>
        <v>4484</v>
      </c>
      <c r="F37" s="3">
        <f t="shared" ref="F37:F38" si="5">E37+(E37*0.05)</f>
        <v>4708.2</v>
      </c>
      <c r="G37" s="3"/>
    </row>
    <row r="38" spans="1:7" x14ac:dyDescent="0.3">
      <c r="A38" s="31" t="s">
        <v>334</v>
      </c>
      <c r="B38" s="13"/>
      <c r="C38" s="13" t="s">
        <v>98</v>
      </c>
      <c r="D38" s="13">
        <v>6000</v>
      </c>
      <c r="E38" s="3">
        <f t="shared" si="4"/>
        <v>7080</v>
      </c>
      <c r="F38" s="3">
        <f t="shared" si="5"/>
        <v>7434</v>
      </c>
      <c r="G38" s="3"/>
    </row>
    <row r="39" spans="1:7" x14ac:dyDescent="0.3">
      <c r="A39" s="5" t="s">
        <v>247</v>
      </c>
      <c r="B39" s="3"/>
      <c r="C39" s="1" t="s">
        <v>248</v>
      </c>
      <c r="D39" s="3">
        <v>9600</v>
      </c>
      <c r="E39" s="3">
        <f>D39+(D39*0.18)</f>
        <v>11328</v>
      </c>
      <c r="F39" s="3">
        <f>E39+(E39*0.05)</f>
        <v>11894.4</v>
      </c>
      <c r="G39" s="3"/>
    </row>
    <row r="40" spans="1:7" x14ac:dyDescent="0.3">
      <c r="A40" s="5" t="s">
        <v>408</v>
      </c>
      <c r="B40" s="3"/>
      <c r="C40" s="1" t="s">
        <v>248</v>
      </c>
      <c r="D40" s="3">
        <v>21300</v>
      </c>
      <c r="E40" s="3">
        <f>D40+(D40*0.18)</f>
        <v>25134</v>
      </c>
      <c r="F40" s="3">
        <f>E40+(E40*0.05)</f>
        <v>26390.7</v>
      </c>
      <c r="G40" s="3"/>
    </row>
    <row r="41" spans="1:7" x14ac:dyDescent="0.3">
      <c r="A41" s="57" t="s">
        <v>279</v>
      </c>
      <c r="B41" s="57"/>
      <c r="C41" s="57"/>
      <c r="D41" s="57"/>
      <c r="E41" s="57"/>
      <c r="F41" s="57"/>
      <c r="G41" s="57"/>
    </row>
    <row r="42" spans="1:7" x14ac:dyDescent="0.3">
      <c r="A42" s="5" t="s">
        <v>278</v>
      </c>
      <c r="B42" s="3"/>
      <c r="C42" s="1" t="s">
        <v>280</v>
      </c>
      <c r="D42" s="3">
        <v>11140</v>
      </c>
      <c r="E42" s="3">
        <f>D42+(D42*0.18)</f>
        <v>13145.2</v>
      </c>
      <c r="F42" s="3">
        <f>E42+(E42*0.05)</f>
        <v>13802.460000000001</v>
      </c>
      <c r="G42" s="3"/>
    </row>
    <row r="43" spans="1:7" x14ac:dyDescent="0.3">
      <c r="A43" s="57" t="s">
        <v>351</v>
      </c>
      <c r="B43" s="57"/>
      <c r="C43" s="57"/>
      <c r="D43" s="57"/>
      <c r="E43" s="57"/>
      <c r="F43" s="57"/>
      <c r="G43" s="57"/>
    </row>
    <row r="44" spans="1:7" x14ac:dyDescent="0.3">
      <c r="A44" s="5" t="s">
        <v>352</v>
      </c>
      <c r="B44" s="3" t="s">
        <v>350</v>
      </c>
      <c r="C44" s="1"/>
      <c r="D44" s="3">
        <v>7980</v>
      </c>
      <c r="E44" s="3">
        <f>D44+(D44*0.18)</f>
        <v>9416.4</v>
      </c>
      <c r="F44" s="3">
        <f>E44+(E44*0.05)</f>
        <v>9887.2199999999993</v>
      </c>
      <c r="G44" s="3"/>
    </row>
    <row r="45" spans="1:7" x14ac:dyDescent="0.3">
      <c r="A45" s="57" t="s">
        <v>355</v>
      </c>
      <c r="B45" s="57"/>
      <c r="C45" s="57"/>
      <c r="D45" s="57"/>
      <c r="E45" s="57"/>
      <c r="F45" s="57"/>
      <c r="G45" s="57"/>
    </row>
    <row r="46" spans="1:7" x14ac:dyDescent="0.3">
      <c r="A46" s="5" t="s">
        <v>353</v>
      </c>
      <c r="B46" s="3" t="s">
        <v>354</v>
      </c>
      <c r="C46" s="1"/>
      <c r="D46" s="3">
        <v>10800</v>
      </c>
      <c r="E46" s="3">
        <f>D46+(D46*0.18)</f>
        <v>12744</v>
      </c>
      <c r="F46" s="3">
        <f>E46+(E46*0.05)</f>
        <v>13381.2</v>
      </c>
      <c r="G46" s="3"/>
    </row>
    <row r="47" spans="1:7" x14ac:dyDescent="0.3">
      <c r="A47" s="57" t="s">
        <v>364</v>
      </c>
      <c r="B47" s="57"/>
      <c r="C47" s="57"/>
      <c r="D47" s="57"/>
      <c r="E47" s="57"/>
      <c r="F47" s="57"/>
      <c r="G47" s="57"/>
    </row>
    <row r="48" spans="1:7" x14ac:dyDescent="0.3">
      <c r="A48" s="5" t="s">
        <v>356</v>
      </c>
      <c r="B48" s="3"/>
      <c r="C48" s="1" t="s">
        <v>280</v>
      </c>
      <c r="D48" s="3">
        <v>2040</v>
      </c>
      <c r="E48" s="3">
        <f>D48+(D48*0.18)</f>
        <v>2407.1999999999998</v>
      </c>
      <c r="F48" s="3">
        <f>E48+(E48*0.05)</f>
        <v>2527.56</v>
      </c>
      <c r="G48" s="3"/>
    </row>
    <row r="49" spans="1:7" x14ac:dyDescent="0.3">
      <c r="A49" s="57" t="s">
        <v>120</v>
      </c>
      <c r="B49" s="57"/>
      <c r="C49" s="57"/>
      <c r="D49" s="57"/>
      <c r="E49" s="57"/>
      <c r="F49" s="57"/>
      <c r="G49" s="57"/>
    </row>
    <row r="50" spans="1:7" x14ac:dyDescent="0.3">
      <c r="A50" s="5" t="s">
        <v>409</v>
      </c>
      <c r="B50" s="3" t="s">
        <v>410</v>
      </c>
      <c r="C50" s="1" t="s">
        <v>248</v>
      </c>
      <c r="D50" s="3">
        <v>10070</v>
      </c>
      <c r="E50" s="3">
        <f t="shared" ref="E50:E58" si="6">D50+(D50*0.18)</f>
        <v>11882.6</v>
      </c>
      <c r="F50" s="3">
        <f t="shared" ref="F50:F58" si="7">E50+(E50*0.05)</f>
        <v>12476.73</v>
      </c>
      <c r="G50" s="3"/>
    </row>
    <row r="51" spans="1:7" x14ac:dyDescent="0.3">
      <c r="A51" s="57" t="s">
        <v>5</v>
      </c>
      <c r="B51" s="57"/>
      <c r="C51" s="57"/>
      <c r="D51" s="57"/>
      <c r="E51" s="57"/>
      <c r="F51" s="57"/>
      <c r="G51" s="57"/>
    </row>
    <row r="52" spans="1:7" x14ac:dyDescent="0.3">
      <c r="A52" s="5" t="s">
        <v>419</v>
      </c>
      <c r="B52" s="3" t="s">
        <v>420</v>
      </c>
      <c r="C52" s="1" t="s">
        <v>324</v>
      </c>
      <c r="D52" s="3">
        <v>19400</v>
      </c>
      <c r="E52" s="3">
        <f t="shared" si="6"/>
        <v>22892</v>
      </c>
      <c r="F52" s="3">
        <f t="shared" si="7"/>
        <v>24036.6</v>
      </c>
      <c r="G52" s="3"/>
    </row>
    <row r="53" spans="1:7" x14ac:dyDescent="0.3">
      <c r="A53" s="57" t="s">
        <v>486</v>
      </c>
      <c r="B53" s="57"/>
      <c r="C53" s="57"/>
      <c r="D53" s="57"/>
      <c r="E53" s="57"/>
      <c r="F53" s="57"/>
      <c r="G53" s="57"/>
    </row>
    <row r="54" spans="1:7" s="50" customFormat="1" ht="45" customHeight="1" x14ac:dyDescent="0.3">
      <c r="A54" s="35" t="s">
        <v>485</v>
      </c>
      <c r="B54" s="15" t="s">
        <v>491</v>
      </c>
      <c r="C54" s="14" t="s">
        <v>319</v>
      </c>
      <c r="D54" s="15">
        <v>23700</v>
      </c>
      <c r="E54" s="15">
        <f t="shared" si="6"/>
        <v>27966</v>
      </c>
      <c r="F54" s="15">
        <f t="shared" si="7"/>
        <v>29364.3</v>
      </c>
      <c r="G54" s="15"/>
    </row>
    <row r="55" spans="1:7" s="50" customFormat="1" ht="15" customHeight="1" x14ac:dyDescent="0.3">
      <c r="A55" s="57" t="s">
        <v>226</v>
      </c>
      <c r="B55" s="57"/>
      <c r="C55" s="57"/>
      <c r="D55" s="57"/>
      <c r="E55" s="57"/>
      <c r="F55" s="57"/>
      <c r="G55" s="57"/>
    </row>
    <row r="56" spans="1:7" s="50" customFormat="1" ht="45" customHeight="1" x14ac:dyDescent="0.3">
      <c r="A56" s="35" t="s">
        <v>492</v>
      </c>
      <c r="B56" s="15"/>
      <c r="C56" s="14">
        <v>1100</v>
      </c>
      <c r="D56" s="15">
        <v>12190</v>
      </c>
      <c r="E56" s="15">
        <f t="shared" si="6"/>
        <v>14384.2</v>
      </c>
      <c r="F56" s="15">
        <f t="shared" si="7"/>
        <v>15103.41</v>
      </c>
      <c r="G56" s="15"/>
    </row>
    <row r="57" spans="1:7" s="50" customFormat="1" ht="45" customHeight="1" x14ac:dyDescent="0.3">
      <c r="A57" s="35" t="s">
        <v>493</v>
      </c>
      <c r="B57" s="15"/>
      <c r="C57" s="14">
        <v>1250</v>
      </c>
      <c r="D57" s="15">
        <v>14500</v>
      </c>
      <c r="E57" s="15">
        <f t="shared" si="6"/>
        <v>17110</v>
      </c>
      <c r="F57" s="15">
        <f t="shared" si="7"/>
        <v>17965.5</v>
      </c>
      <c r="G57" s="15"/>
    </row>
    <row r="58" spans="1:7" s="50" customFormat="1" ht="45" customHeight="1" x14ac:dyDescent="0.3">
      <c r="A58" s="35" t="s">
        <v>494</v>
      </c>
      <c r="B58" s="15"/>
      <c r="C58" s="14">
        <v>1200</v>
      </c>
      <c r="D58" s="15">
        <v>40350</v>
      </c>
      <c r="E58" s="15">
        <f t="shared" si="6"/>
        <v>47613</v>
      </c>
      <c r="F58" s="15">
        <f t="shared" si="7"/>
        <v>49993.65</v>
      </c>
      <c r="G58" s="15"/>
    </row>
  </sheetData>
  <mergeCells count="18">
    <mergeCell ref="A47:G47"/>
    <mergeCell ref="A43:G43"/>
    <mergeCell ref="A41:G41"/>
    <mergeCell ref="A55:G55"/>
    <mergeCell ref="A53:G53"/>
    <mergeCell ref="A51:G51"/>
    <mergeCell ref="A49:G49"/>
    <mergeCell ref="A45:G45"/>
    <mergeCell ref="A2:G2"/>
    <mergeCell ref="A13:G13"/>
    <mergeCell ref="A17:G17"/>
    <mergeCell ref="A34:G34"/>
    <mergeCell ref="A36:G36"/>
    <mergeCell ref="A32:G32"/>
    <mergeCell ref="A28:G28"/>
    <mergeCell ref="A25:G25"/>
    <mergeCell ref="A22:G22"/>
    <mergeCell ref="A11:G11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7E682-0E65-4FF5-95A7-46A12E857521}">
  <sheetPr>
    <tabColor theme="3" tint="0.39997558519241921"/>
  </sheetPr>
  <dimension ref="A1:E3"/>
  <sheetViews>
    <sheetView workbookViewId="0">
      <selection activeCell="F1" sqref="F1:F1048576"/>
    </sheetView>
  </sheetViews>
  <sheetFormatPr defaultRowHeight="14.4" x14ac:dyDescent="0.3"/>
  <cols>
    <col min="1" max="1" width="28.109375" customWidth="1"/>
    <col min="2" max="2" width="8.88671875" style="6"/>
    <col min="3" max="3" width="12.33203125" style="10" customWidth="1"/>
    <col min="4" max="5" width="8.88671875" hidden="1" customWidth="1"/>
  </cols>
  <sheetData>
    <row r="1" spans="1:5" x14ac:dyDescent="0.3">
      <c r="A1" s="5" t="s">
        <v>0</v>
      </c>
      <c r="B1" s="1" t="s">
        <v>87</v>
      </c>
      <c r="C1" s="1" t="s">
        <v>10</v>
      </c>
      <c r="D1" s="5" t="s">
        <v>4</v>
      </c>
      <c r="E1" s="5" t="s">
        <v>32</v>
      </c>
    </row>
    <row r="2" spans="1:5" x14ac:dyDescent="0.3">
      <c r="A2" s="58" t="s">
        <v>157</v>
      </c>
      <c r="B2" s="58"/>
      <c r="C2" s="58"/>
      <c r="D2" s="58"/>
      <c r="E2" s="58"/>
    </row>
    <row r="3" spans="1:5" x14ac:dyDescent="0.3">
      <c r="A3" s="2" t="s">
        <v>156</v>
      </c>
      <c r="B3" s="3" t="s">
        <v>241</v>
      </c>
      <c r="C3" s="1" t="s">
        <v>417</v>
      </c>
      <c r="D3" s="2">
        <v>1645</v>
      </c>
      <c r="E3" s="2">
        <f>D3+(D3*0.1)</f>
        <v>1809.5</v>
      </c>
    </row>
  </sheetData>
  <mergeCells count="1">
    <mergeCell ref="A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9E1F2-FD35-49D9-BB2F-2717D75097E6}">
  <sheetPr>
    <tabColor theme="2" tint="-9.9978637043366805E-2"/>
  </sheetPr>
  <dimension ref="A1:J21"/>
  <sheetViews>
    <sheetView workbookViewId="0">
      <selection activeCell="H1" sqref="H1:K1048576"/>
    </sheetView>
  </sheetViews>
  <sheetFormatPr defaultColWidth="8.5546875" defaultRowHeight="14.4" x14ac:dyDescent="0.3"/>
  <cols>
    <col min="1" max="1" width="39.6640625" customWidth="1"/>
    <col min="2" max="2" width="14.109375" style="16" customWidth="1"/>
    <col min="3" max="3" width="14.109375" customWidth="1"/>
    <col min="4" max="6" width="8.88671875" hidden="1" customWidth="1"/>
    <col min="7" max="7" width="10" hidden="1" customWidth="1"/>
  </cols>
  <sheetData>
    <row r="1" spans="1:7" s="10" customFormat="1" x14ac:dyDescent="0.3">
      <c r="A1" s="1" t="s">
        <v>393</v>
      </c>
      <c r="B1" s="14" t="s">
        <v>476</v>
      </c>
      <c r="C1" s="1" t="s">
        <v>373</v>
      </c>
      <c r="D1" s="1" t="s">
        <v>1</v>
      </c>
      <c r="E1" s="1" t="s">
        <v>36</v>
      </c>
      <c r="F1" s="1" t="s">
        <v>147</v>
      </c>
      <c r="G1" s="1" t="s">
        <v>32</v>
      </c>
    </row>
    <row r="2" spans="1:7" x14ac:dyDescent="0.3">
      <c r="A2" s="59" t="s">
        <v>159</v>
      </c>
      <c r="B2" s="59"/>
      <c r="C2" s="59"/>
      <c r="D2" s="59"/>
      <c r="E2" s="59"/>
      <c r="F2" s="59"/>
      <c r="G2" s="59"/>
    </row>
    <row r="3" spans="1:7" x14ac:dyDescent="0.3">
      <c r="A3" s="2" t="s">
        <v>160</v>
      </c>
      <c r="B3" s="15"/>
      <c r="C3" s="2"/>
      <c r="D3" s="2">
        <v>1200</v>
      </c>
      <c r="E3" s="2">
        <f>D3+(D3*0.18)</f>
        <v>1416</v>
      </c>
      <c r="F3" s="2"/>
      <c r="G3" s="2">
        <f>E3+(E3*0.1)</f>
        <v>1557.6</v>
      </c>
    </row>
    <row r="4" spans="1:7" x14ac:dyDescent="0.3">
      <c r="A4" s="59" t="s">
        <v>238</v>
      </c>
      <c r="B4" s="59"/>
      <c r="C4" s="59"/>
      <c r="D4" s="59"/>
      <c r="E4" s="59"/>
      <c r="F4" s="59"/>
      <c r="G4" s="59"/>
    </row>
    <row r="5" spans="1:7" x14ac:dyDescent="0.3">
      <c r="A5" s="5" t="s">
        <v>239</v>
      </c>
      <c r="B5" s="14"/>
      <c r="C5" s="5"/>
      <c r="D5" s="2">
        <v>350</v>
      </c>
      <c r="E5" s="2">
        <f>D5+(D5*0.18)</f>
        <v>413</v>
      </c>
      <c r="F5" s="2"/>
      <c r="G5" s="2">
        <f>E5+(E5*0.15)</f>
        <v>474.95</v>
      </c>
    </row>
    <row r="6" spans="1:7" x14ac:dyDescent="0.3">
      <c r="A6" s="59" t="s">
        <v>256</v>
      </c>
      <c r="B6" s="59"/>
      <c r="C6" s="59"/>
      <c r="D6" s="59"/>
      <c r="E6" s="59"/>
      <c r="F6" s="59"/>
      <c r="G6" s="59"/>
    </row>
    <row r="7" spans="1:7" x14ac:dyDescent="0.3">
      <c r="A7" s="5" t="s">
        <v>305</v>
      </c>
      <c r="B7" s="14"/>
      <c r="C7" s="5"/>
      <c r="D7" s="2">
        <v>140</v>
      </c>
      <c r="E7" s="2">
        <f>D7+(D7*0.18)</f>
        <v>165.2</v>
      </c>
      <c r="F7" s="2"/>
      <c r="G7" s="2">
        <f>E7+(E7*0.15)</f>
        <v>189.98</v>
      </c>
    </row>
    <row r="8" spans="1:7" x14ac:dyDescent="0.3">
      <c r="A8" s="59" t="s">
        <v>260</v>
      </c>
      <c r="B8" s="59"/>
      <c r="C8" s="59"/>
      <c r="D8" s="59"/>
      <c r="E8" s="59"/>
      <c r="F8" s="59"/>
      <c r="G8" s="59"/>
    </row>
    <row r="9" spans="1:7" s="50" customFormat="1" ht="45" customHeight="1" x14ac:dyDescent="0.3">
      <c r="A9" s="35" t="s">
        <v>478</v>
      </c>
      <c r="B9" s="14" t="s">
        <v>482</v>
      </c>
      <c r="C9" s="35"/>
      <c r="D9" s="36">
        <v>900</v>
      </c>
      <c r="E9" s="36">
        <f t="shared" ref="E9:E14" si="0">D9+(D9*0.18)</f>
        <v>1062</v>
      </c>
      <c r="F9" s="36">
        <f>E9+(E9*0.07)</f>
        <v>1136.3399999999999</v>
      </c>
      <c r="G9" s="36">
        <f>F9+(F9*0.2)</f>
        <v>1363.6079999999999</v>
      </c>
    </row>
    <row r="10" spans="1:7" s="50" customFormat="1" ht="45" customHeight="1" x14ac:dyDescent="0.3">
      <c r="A10" s="35" t="s">
        <v>477</v>
      </c>
      <c r="B10" s="14" t="s">
        <v>482</v>
      </c>
      <c r="C10" s="35"/>
      <c r="D10" s="36">
        <v>900</v>
      </c>
      <c r="E10" s="36">
        <f t="shared" si="0"/>
        <v>1062</v>
      </c>
      <c r="F10" s="36">
        <f>E10+(E10*0.05)</f>
        <v>1115.0999999999999</v>
      </c>
      <c r="G10" s="36">
        <f>F10+(F10*0.2)</f>
        <v>1338.12</v>
      </c>
    </row>
    <row r="11" spans="1:7" x14ac:dyDescent="0.3">
      <c r="A11" s="59" t="s">
        <v>261</v>
      </c>
      <c r="B11" s="59"/>
      <c r="C11" s="59"/>
      <c r="D11" s="59"/>
      <c r="E11" s="59"/>
      <c r="F11" s="59"/>
      <c r="G11" s="59"/>
    </row>
    <row r="12" spans="1:7" x14ac:dyDescent="0.3">
      <c r="A12" s="5" t="s">
        <v>261</v>
      </c>
      <c r="B12" s="14"/>
      <c r="C12" s="5"/>
      <c r="D12" s="2">
        <v>740</v>
      </c>
      <c r="E12" s="2">
        <f t="shared" si="0"/>
        <v>873.2</v>
      </c>
      <c r="F12" s="2">
        <f>E12+(E12*0.07)</f>
        <v>934.32400000000007</v>
      </c>
      <c r="G12" s="2">
        <f>F12+(F12*0.2)</f>
        <v>1121.1888000000001</v>
      </c>
    </row>
    <row r="13" spans="1:7" x14ac:dyDescent="0.3">
      <c r="A13" s="59" t="s">
        <v>342</v>
      </c>
      <c r="B13" s="59"/>
      <c r="C13" s="59"/>
      <c r="D13" s="59"/>
      <c r="E13" s="59"/>
      <c r="F13" s="59"/>
      <c r="G13" s="59"/>
    </row>
    <row r="14" spans="1:7" s="50" customFormat="1" ht="45" customHeight="1" x14ac:dyDescent="0.3">
      <c r="A14" s="35" t="s">
        <v>480</v>
      </c>
      <c r="B14" s="14" t="s">
        <v>482</v>
      </c>
      <c r="C14" s="35"/>
      <c r="D14" s="36">
        <v>490</v>
      </c>
      <c r="E14" s="36">
        <f t="shared" si="0"/>
        <v>578.20000000000005</v>
      </c>
      <c r="F14" s="36">
        <f>E14+(E14*0.05)</f>
        <v>607.11</v>
      </c>
      <c r="G14" s="36">
        <f>F14+(F14*0.2)</f>
        <v>728.53200000000004</v>
      </c>
    </row>
    <row r="15" spans="1:7" s="50" customFormat="1" ht="45" customHeight="1" x14ac:dyDescent="0.3">
      <c r="A15" s="35" t="s">
        <v>479</v>
      </c>
      <c r="B15" s="14" t="s">
        <v>482</v>
      </c>
      <c r="C15" s="35"/>
      <c r="D15" s="36">
        <v>550</v>
      </c>
      <c r="E15" s="36">
        <f>D15+(D15*0.18)</f>
        <v>649</v>
      </c>
      <c r="F15" s="36">
        <f>E15+(E15*0.05)</f>
        <v>681.45</v>
      </c>
      <c r="G15" s="36">
        <f>F15+(F15*0.2)</f>
        <v>817.74</v>
      </c>
    </row>
    <row r="16" spans="1:7" s="50" customFormat="1" ht="45" customHeight="1" x14ac:dyDescent="0.3">
      <c r="A16" s="35" t="s">
        <v>481</v>
      </c>
      <c r="B16" s="14" t="s">
        <v>482</v>
      </c>
      <c r="C16" s="35"/>
      <c r="D16" s="36">
        <v>950</v>
      </c>
      <c r="E16" s="36">
        <f>D16+(D16*0.18)</f>
        <v>1121</v>
      </c>
      <c r="F16" s="36">
        <f>E16+(E16*0.05)</f>
        <v>1177.05</v>
      </c>
      <c r="G16" s="36">
        <f>F16+(F16*0.2)</f>
        <v>1412.46</v>
      </c>
    </row>
    <row r="17" spans="1:7" x14ac:dyDescent="0.3">
      <c r="A17" s="59" t="s">
        <v>346</v>
      </c>
      <c r="B17" s="59"/>
      <c r="C17" s="59"/>
      <c r="D17" s="59"/>
      <c r="E17" s="59"/>
      <c r="F17" s="59"/>
      <c r="G17" s="59"/>
    </row>
    <row r="18" spans="1:7" x14ac:dyDescent="0.3">
      <c r="A18" s="33" t="s">
        <v>392</v>
      </c>
      <c r="B18" s="47"/>
      <c r="C18" s="33"/>
      <c r="D18" s="2">
        <v>1900</v>
      </c>
      <c r="E18" s="2"/>
      <c r="F18" s="2"/>
      <c r="G18" s="2">
        <f>D18+(D18*0.15)</f>
        <v>2185</v>
      </c>
    </row>
    <row r="19" spans="1:7" x14ac:dyDescent="0.3">
      <c r="A19" s="31" t="s">
        <v>346</v>
      </c>
      <c r="B19" s="48" t="s">
        <v>482</v>
      </c>
      <c r="C19" s="31"/>
      <c r="D19" s="2">
        <v>1370</v>
      </c>
      <c r="E19" s="2">
        <f>D19+(D19*0.18)</f>
        <v>1616.6</v>
      </c>
      <c r="F19" s="2">
        <f>E19+(E19*0.12)</f>
        <v>1810.5919999999999</v>
      </c>
      <c r="G19" s="2">
        <f>F19+(F19*0.2)</f>
        <v>2172.7103999999999</v>
      </c>
    </row>
    <row r="20" spans="1:7" x14ac:dyDescent="0.3">
      <c r="A20" s="59" t="s">
        <v>383</v>
      </c>
      <c r="B20" s="59"/>
      <c r="C20" s="59"/>
      <c r="D20" s="59"/>
      <c r="E20" s="59"/>
      <c r="F20" s="59"/>
      <c r="G20" s="59"/>
    </row>
    <row r="21" spans="1:7" x14ac:dyDescent="0.3">
      <c r="A21" s="30" t="s">
        <v>382</v>
      </c>
      <c r="B21" s="49"/>
      <c r="C21" s="30"/>
      <c r="D21" s="2">
        <v>1100</v>
      </c>
      <c r="E21" s="2"/>
      <c r="F21" s="2"/>
      <c r="G21" s="2">
        <f>D21+(D21*0.15)</f>
        <v>1265</v>
      </c>
    </row>
  </sheetData>
  <mergeCells count="8">
    <mergeCell ref="A13:G13"/>
    <mergeCell ref="A17:G17"/>
    <mergeCell ref="A20:G20"/>
    <mergeCell ref="A2:G2"/>
    <mergeCell ref="A4:G4"/>
    <mergeCell ref="A6:G6"/>
    <mergeCell ref="A8:G8"/>
    <mergeCell ref="A11:G1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95F6C-60AF-4238-BFDD-AC740309FA74}">
  <sheetPr>
    <tabColor rgb="FFFFC000"/>
  </sheetPr>
  <dimension ref="A1:E16"/>
  <sheetViews>
    <sheetView zoomScale="76" zoomScaleNormal="76" workbookViewId="0">
      <selection activeCell="F1" sqref="F1:I1048576"/>
    </sheetView>
  </sheetViews>
  <sheetFormatPr defaultRowHeight="14.4" x14ac:dyDescent="0.3"/>
  <cols>
    <col min="1" max="1" width="32.5546875" customWidth="1"/>
    <col min="2" max="3" width="13.6640625" style="10" customWidth="1"/>
    <col min="4" max="4" width="9.77734375" style="6" customWidth="1"/>
    <col min="5" max="5" width="14.44140625" style="6" customWidth="1"/>
  </cols>
  <sheetData>
    <row r="1" spans="1:5" x14ac:dyDescent="0.3">
      <c r="A1" s="5" t="s">
        <v>0</v>
      </c>
      <c r="B1" s="1" t="s">
        <v>10</v>
      </c>
      <c r="C1" s="1" t="s">
        <v>230</v>
      </c>
      <c r="D1" s="1" t="s">
        <v>87</v>
      </c>
      <c r="E1" s="1" t="s">
        <v>373</v>
      </c>
    </row>
    <row r="2" spans="1:5" x14ac:dyDescent="0.3">
      <c r="A2" s="60" t="s">
        <v>56</v>
      </c>
      <c r="B2" s="60"/>
      <c r="C2" s="60"/>
      <c r="D2" s="60"/>
      <c r="E2" s="60"/>
    </row>
    <row r="3" spans="1:5" x14ac:dyDescent="0.3">
      <c r="A3" t="s">
        <v>205</v>
      </c>
      <c r="B3" s="23" t="s">
        <v>224</v>
      </c>
      <c r="C3" s="23"/>
      <c r="D3" s="24">
        <v>750</v>
      </c>
      <c r="E3" s="24"/>
    </row>
    <row r="4" spans="1:5" s="50" customFormat="1" ht="45" customHeight="1" x14ac:dyDescent="0.3">
      <c r="A4" s="53" t="s">
        <v>205</v>
      </c>
      <c r="B4" s="51" t="s">
        <v>173</v>
      </c>
      <c r="C4" s="51"/>
      <c r="D4" s="52">
        <v>850</v>
      </c>
      <c r="E4" s="52"/>
    </row>
    <row r="5" spans="1:5" x14ac:dyDescent="0.3">
      <c r="A5" s="25" t="s">
        <v>205</v>
      </c>
      <c r="B5" s="21" t="s">
        <v>448</v>
      </c>
      <c r="C5" s="21"/>
      <c r="D5" s="20">
        <v>1000</v>
      </c>
      <c r="E5" s="20"/>
    </row>
    <row r="6" spans="1:5" x14ac:dyDescent="0.3">
      <c r="A6" s="25" t="s">
        <v>205</v>
      </c>
      <c r="B6" s="21" t="s">
        <v>449</v>
      </c>
      <c r="C6" s="21"/>
      <c r="D6" s="20">
        <v>1010</v>
      </c>
      <c r="E6" s="20"/>
    </row>
    <row r="7" spans="1:5" x14ac:dyDescent="0.3">
      <c r="A7" s="25" t="s">
        <v>263</v>
      </c>
      <c r="B7" s="21" t="s">
        <v>450</v>
      </c>
      <c r="C7" s="21"/>
      <c r="D7" s="20">
        <v>1200</v>
      </c>
      <c r="E7" s="20"/>
    </row>
    <row r="8" spans="1:5" x14ac:dyDescent="0.3">
      <c r="A8" s="25" t="s">
        <v>263</v>
      </c>
      <c r="B8" s="21" t="s">
        <v>264</v>
      </c>
      <c r="C8" s="21"/>
      <c r="D8" s="20">
        <v>950</v>
      </c>
      <c r="E8" s="20"/>
    </row>
    <row r="9" spans="1:5" x14ac:dyDescent="0.3">
      <c r="A9" s="60" t="s">
        <v>207</v>
      </c>
      <c r="B9" s="60"/>
      <c r="C9" s="60"/>
      <c r="D9" s="60"/>
      <c r="E9" s="60"/>
    </row>
    <row r="10" spans="1:5" x14ac:dyDescent="0.3">
      <c r="A10" s="2" t="s">
        <v>206</v>
      </c>
      <c r="B10" s="1" t="s">
        <v>204</v>
      </c>
      <c r="C10" s="1"/>
      <c r="D10" s="3">
        <v>550</v>
      </c>
      <c r="E10" s="3"/>
    </row>
    <row r="11" spans="1:5" x14ac:dyDescent="0.3">
      <c r="A11" s="2" t="s">
        <v>293</v>
      </c>
      <c r="B11" s="1" t="s">
        <v>292</v>
      </c>
      <c r="C11" s="1"/>
      <c r="D11" s="3">
        <v>750</v>
      </c>
      <c r="E11" s="3"/>
    </row>
    <row r="12" spans="1:5" x14ac:dyDescent="0.3">
      <c r="A12" s="2" t="s">
        <v>297</v>
      </c>
      <c r="B12" s="1" t="s">
        <v>298</v>
      </c>
      <c r="C12" s="1"/>
      <c r="D12" s="3" t="s">
        <v>248</v>
      </c>
      <c r="E12" s="3"/>
    </row>
    <row r="13" spans="1:5" x14ac:dyDescent="0.3">
      <c r="A13" s="60" t="s">
        <v>235</v>
      </c>
      <c r="B13" s="60"/>
      <c r="C13" s="60"/>
      <c r="D13" s="60"/>
      <c r="E13" s="60"/>
    </row>
    <row r="14" spans="1:5" x14ac:dyDescent="0.3">
      <c r="A14" s="2" t="s">
        <v>234</v>
      </c>
      <c r="B14" s="1" t="s">
        <v>232</v>
      </c>
      <c r="C14" s="1"/>
      <c r="D14" s="3">
        <v>2000</v>
      </c>
      <c r="E14" s="3"/>
    </row>
    <row r="15" spans="1:5" x14ac:dyDescent="0.3">
      <c r="A15" s="60" t="s">
        <v>489</v>
      </c>
      <c r="B15" s="60"/>
      <c r="C15" s="60"/>
      <c r="D15" s="60"/>
      <c r="E15" s="60"/>
    </row>
    <row r="16" spans="1:5" s="50" customFormat="1" ht="45" customHeight="1" x14ac:dyDescent="0.3">
      <c r="A16" s="36" t="s">
        <v>488</v>
      </c>
      <c r="B16" s="14" t="s">
        <v>487</v>
      </c>
      <c r="C16" s="14" t="s">
        <v>490</v>
      </c>
      <c r="D16" s="15">
        <v>1500</v>
      </c>
      <c r="E16" s="15"/>
    </row>
  </sheetData>
  <mergeCells count="4">
    <mergeCell ref="A2:E2"/>
    <mergeCell ref="A9:E9"/>
    <mergeCell ref="A13:E13"/>
    <mergeCell ref="A15:E15"/>
  </mergeCells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2B06F-2C51-4295-B565-FDE365776453}">
  <sheetPr>
    <tabColor theme="4" tint="0.59999389629810485"/>
  </sheetPr>
  <dimension ref="A1:F47"/>
  <sheetViews>
    <sheetView zoomScale="56" zoomScaleNormal="56" workbookViewId="0">
      <selection activeCell="G1" sqref="G1:G1048576"/>
    </sheetView>
  </sheetViews>
  <sheetFormatPr defaultColWidth="8.5546875" defaultRowHeight="14.4" x14ac:dyDescent="0.3"/>
  <cols>
    <col min="1" max="1" width="43.21875" customWidth="1"/>
    <col min="2" max="2" width="14.109375" style="6" hidden="1" customWidth="1"/>
    <col min="3" max="3" width="10.44140625" hidden="1" customWidth="1"/>
    <col min="4" max="4" width="10.44140625" customWidth="1"/>
    <col min="5" max="5" width="8.5546875" style="10" customWidth="1"/>
    <col min="6" max="6" width="12" style="1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373</v>
      </c>
      <c r="E1" s="1" t="s">
        <v>87</v>
      </c>
      <c r="F1" s="1" t="s">
        <v>10</v>
      </c>
    </row>
    <row r="2" spans="1:6" x14ac:dyDescent="0.3">
      <c r="A2" s="61" t="s">
        <v>29</v>
      </c>
      <c r="B2" s="61"/>
      <c r="C2" s="61"/>
      <c r="D2" s="61"/>
      <c r="E2" s="61"/>
      <c r="F2" s="61"/>
    </row>
    <row r="3" spans="1:6" x14ac:dyDescent="0.3">
      <c r="A3" s="2" t="s">
        <v>30</v>
      </c>
      <c r="B3" s="3">
        <v>1365</v>
      </c>
      <c r="C3" s="3">
        <f>B3+(B3*0.05)</f>
        <v>1433.25</v>
      </c>
      <c r="D3" s="3"/>
      <c r="E3" s="1" t="s">
        <v>122</v>
      </c>
      <c r="F3" s="1" t="s">
        <v>31</v>
      </c>
    </row>
    <row r="4" spans="1:6" x14ac:dyDescent="0.3">
      <c r="A4" s="2" t="s">
        <v>103</v>
      </c>
      <c r="B4" s="3">
        <v>1345</v>
      </c>
      <c r="C4" s="3">
        <f>B4+(B4*0.05)</f>
        <v>1412.25</v>
      </c>
      <c r="D4" s="3"/>
      <c r="E4" s="1" t="s">
        <v>95</v>
      </c>
      <c r="F4" s="1" t="s">
        <v>475</v>
      </c>
    </row>
    <row r="5" spans="1:6" x14ac:dyDescent="0.3">
      <c r="A5" s="2" t="s">
        <v>104</v>
      </c>
      <c r="B5" s="3">
        <v>1795</v>
      </c>
      <c r="C5" s="3">
        <f>B5+(B5*0.05)</f>
        <v>1884.75</v>
      </c>
      <c r="D5" s="3"/>
      <c r="E5" s="1" t="s">
        <v>96</v>
      </c>
      <c r="F5" s="1" t="s">
        <v>11</v>
      </c>
    </row>
    <row r="6" spans="1:6" x14ac:dyDescent="0.3">
      <c r="A6" s="2" t="s">
        <v>105</v>
      </c>
      <c r="B6" s="3">
        <v>2230</v>
      </c>
      <c r="C6" s="3">
        <f>B6+(B6*0.05)</f>
        <v>2341.5</v>
      </c>
      <c r="D6" s="3"/>
      <c r="E6" s="1" t="s">
        <v>96</v>
      </c>
      <c r="F6" s="1" t="s">
        <v>33</v>
      </c>
    </row>
    <row r="7" spans="1:6" x14ac:dyDescent="0.3">
      <c r="A7" s="2" t="s">
        <v>281</v>
      </c>
      <c r="B7" s="3">
        <v>2425</v>
      </c>
      <c r="C7" s="3">
        <f>B7+(B7*0.05)</f>
        <v>2546.25</v>
      </c>
      <c r="D7" s="3"/>
      <c r="E7" s="1" t="s">
        <v>97</v>
      </c>
      <c r="F7" s="1" t="s">
        <v>282</v>
      </c>
    </row>
    <row r="8" spans="1:6" x14ac:dyDescent="0.3">
      <c r="A8" s="61" t="s">
        <v>58</v>
      </c>
      <c r="B8" s="61"/>
      <c r="C8" s="61"/>
      <c r="D8" s="61"/>
      <c r="E8" s="61"/>
      <c r="F8" s="61"/>
    </row>
    <row r="9" spans="1:6" x14ac:dyDescent="0.3">
      <c r="A9" s="2" t="s">
        <v>250</v>
      </c>
      <c r="B9" s="13">
        <v>3300</v>
      </c>
      <c r="C9" s="1">
        <f>B9+(B9*0.05)</f>
        <v>3465</v>
      </c>
      <c r="D9" s="1"/>
      <c r="E9" s="13"/>
      <c r="F9" s="13" t="s">
        <v>251</v>
      </c>
    </row>
    <row r="10" spans="1:6" x14ac:dyDescent="0.3">
      <c r="A10" s="2" t="s">
        <v>421</v>
      </c>
      <c r="B10" s="13">
        <v>4295</v>
      </c>
      <c r="C10" s="1">
        <f>B10+(B10*0.05)</f>
        <v>4509.75</v>
      </c>
      <c r="D10" s="1"/>
      <c r="E10" s="13" t="s">
        <v>423</v>
      </c>
      <c r="F10" s="13" t="s">
        <v>422</v>
      </c>
    </row>
    <row r="11" spans="1:6" x14ac:dyDescent="0.3">
      <c r="A11" s="2" t="s">
        <v>73</v>
      </c>
      <c r="B11" s="1">
        <v>3980</v>
      </c>
      <c r="C11" s="1">
        <f>B11+(B11*0.05)</f>
        <v>4179</v>
      </c>
      <c r="D11" s="1"/>
      <c r="E11" s="1"/>
      <c r="F11" s="1" t="s">
        <v>57</v>
      </c>
    </row>
    <row r="12" spans="1:6" x14ac:dyDescent="0.3">
      <c r="A12" s="2" t="s">
        <v>106</v>
      </c>
      <c r="B12" s="3">
        <v>3620</v>
      </c>
      <c r="C12" s="3">
        <f>B12+(B12*0.05)</f>
        <v>3801</v>
      </c>
      <c r="D12" s="3"/>
      <c r="E12" s="1" t="s">
        <v>97</v>
      </c>
      <c r="F12" s="1" t="s">
        <v>69</v>
      </c>
    </row>
    <row r="13" spans="1:6" x14ac:dyDescent="0.3">
      <c r="A13" s="61" t="s">
        <v>70</v>
      </c>
      <c r="B13" s="61"/>
      <c r="C13" s="61"/>
      <c r="D13" s="61"/>
      <c r="E13" s="61"/>
      <c r="F13" s="61"/>
    </row>
    <row r="14" spans="1:6" x14ac:dyDescent="0.3">
      <c r="A14" s="11" t="s">
        <v>153</v>
      </c>
      <c r="B14" s="11">
        <v>5714</v>
      </c>
      <c r="C14" s="11">
        <f>B14+(B14*0.05)</f>
        <v>5999.7</v>
      </c>
      <c r="D14" s="11"/>
      <c r="E14" s="13" t="s">
        <v>348</v>
      </c>
      <c r="F14" s="13" t="s">
        <v>71</v>
      </c>
    </row>
    <row r="15" spans="1:6" s="50" customFormat="1" ht="45" customHeight="1" x14ac:dyDescent="0.3">
      <c r="A15" s="55" t="s">
        <v>72</v>
      </c>
      <c r="B15" s="55">
        <v>6020</v>
      </c>
      <c r="C15" s="55">
        <f>B15+(B15*0.05)</f>
        <v>6321</v>
      </c>
      <c r="D15" s="55"/>
      <c r="E15" s="48" t="s">
        <v>155</v>
      </c>
      <c r="F15" s="48" t="s">
        <v>154</v>
      </c>
    </row>
    <row r="16" spans="1:6" x14ac:dyDescent="0.3">
      <c r="A16" s="11" t="s">
        <v>93</v>
      </c>
      <c r="B16" s="11">
        <v>12230</v>
      </c>
      <c r="C16" s="11">
        <f>B16+(B16*0.05)</f>
        <v>12841.5</v>
      </c>
      <c r="D16" s="11"/>
      <c r="E16" s="13" t="s">
        <v>319</v>
      </c>
      <c r="F16" s="13" t="s">
        <v>94</v>
      </c>
    </row>
    <row r="17" spans="1:6" x14ac:dyDescent="0.3">
      <c r="A17" s="62" t="s">
        <v>414</v>
      </c>
      <c r="B17" s="63"/>
      <c r="C17" s="63"/>
      <c r="D17" s="63"/>
      <c r="E17" s="63"/>
      <c r="F17" s="63"/>
    </row>
    <row r="18" spans="1:6" x14ac:dyDescent="0.3">
      <c r="A18" s="2" t="s">
        <v>394</v>
      </c>
      <c r="B18" s="3">
        <v>1970</v>
      </c>
      <c r="C18" s="3">
        <f>B18+(B18*0.05)</f>
        <v>2068.5</v>
      </c>
      <c r="D18" s="3"/>
      <c r="E18" s="1" t="s">
        <v>98</v>
      </c>
      <c r="F18" s="1" t="s">
        <v>12</v>
      </c>
    </row>
    <row r="19" spans="1:6" x14ac:dyDescent="0.3">
      <c r="A19" s="62" t="s">
        <v>413</v>
      </c>
      <c r="B19" s="63"/>
      <c r="C19" s="63"/>
      <c r="D19" s="63"/>
      <c r="E19" s="63"/>
      <c r="F19" s="63"/>
    </row>
    <row r="20" spans="1:6" x14ac:dyDescent="0.3">
      <c r="A20" s="2" t="s">
        <v>245</v>
      </c>
      <c r="B20" s="3">
        <v>5085</v>
      </c>
      <c r="C20" s="3">
        <f>B20+(B20*0.05)</f>
        <v>5339.25</v>
      </c>
      <c r="D20" s="3"/>
      <c r="E20" s="1" t="s">
        <v>99</v>
      </c>
      <c r="F20" s="1" t="s">
        <v>67</v>
      </c>
    </row>
    <row r="21" spans="1:6" x14ac:dyDescent="0.3">
      <c r="A21" s="61" t="s">
        <v>384</v>
      </c>
      <c r="B21" s="61"/>
      <c r="C21" s="61"/>
      <c r="D21" s="61"/>
      <c r="E21" s="61"/>
      <c r="F21" s="61"/>
    </row>
    <row r="22" spans="1:6" x14ac:dyDescent="0.3">
      <c r="A22" s="46" t="s">
        <v>120</v>
      </c>
      <c r="B22" s="13">
        <v>5135</v>
      </c>
      <c r="C22" s="3">
        <f>B22+(B22*0.05)</f>
        <v>5391.75</v>
      </c>
      <c r="D22" s="3"/>
      <c r="E22" s="1" t="s">
        <v>99</v>
      </c>
      <c r="F22" s="13" t="s">
        <v>237</v>
      </c>
    </row>
    <row r="23" spans="1:6" x14ac:dyDescent="0.3">
      <c r="A23" s="2" t="s">
        <v>120</v>
      </c>
      <c r="B23" s="3">
        <v>5610</v>
      </c>
      <c r="C23" s="3">
        <f>B23+(B23*0.05)</f>
        <v>5890.5</v>
      </c>
      <c r="D23" s="3"/>
      <c r="E23" s="1" t="s">
        <v>99</v>
      </c>
      <c r="F23" s="1" t="s">
        <v>121</v>
      </c>
    </row>
    <row r="24" spans="1:6" x14ac:dyDescent="0.3">
      <c r="A24" s="2" t="s">
        <v>120</v>
      </c>
      <c r="B24" s="3">
        <v>5220</v>
      </c>
      <c r="C24" s="3">
        <f>B24+(B24*0.05)</f>
        <v>5481</v>
      </c>
      <c r="D24" s="3"/>
      <c r="E24" s="1" t="s">
        <v>99</v>
      </c>
      <c r="F24" s="1" t="s">
        <v>415</v>
      </c>
    </row>
    <row r="25" spans="1:6" x14ac:dyDescent="0.3">
      <c r="A25" s="2" t="s">
        <v>120</v>
      </c>
      <c r="B25" s="3">
        <v>4450</v>
      </c>
      <c r="C25" s="3">
        <f>B25+(B25*0.05)</f>
        <v>4672.5</v>
      </c>
      <c r="D25" s="3"/>
      <c r="E25" s="1" t="s">
        <v>99</v>
      </c>
      <c r="F25" s="1" t="s">
        <v>237</v>
      </c>
    </row>
    <row r="26" spans="1:6" x14ac:dyDescent="0.3">
      <c r="A26" s="61" t="s">
        <v>52</v>
      </c>
      <c r="B26" s="61"/>
      <c r="C26" s="61"/>
      <c r="D26" s="61"/>
      <c r="E26" s="61"/>
      <c r="F26" s="61"/>
    </row>
    <row r="27" spans="1:6" x14ac:dyDescent="0.3">
      <c r="A27" s="2" t="s">
        <v>53</v>
      </c>
      <c r="B27" s="3">
        <v>1550</v>
      </c>
      <c r="C27" s="3">
        <f>B27+(B27*0.05)</f>
        <v>1627.5</v>
      </c>
      <c r="D27" s="3"/>
      <c r="E27" s="1"/>
      <c r="F27" s="1" t="s">
        <v>51</v>
      </c>
    </row>
    <row r="28" spans="1:6" x14ac:dyDescent="0.3">
      <c r="A28" s="61" t="s">
        <v>56</v>
      </c>
      <c r="B28" s="61"/>
      <c r="C28" s="61"/>
      <c r="D28" s="61"/>
      <c r="E28" s="61"/>
      <c r="F28" s="61"/>
    </row>
    <row r="29" spans="1:6" s="50" customFormat="1" ht="45" customHeight="1" x14ac:dyDescent="0.3">
      <c r="A29" s="36" t="s">
        <v>107</v>
      </c>
      <c r="B29" s="15">
        <v>1630</v>
      </c>
      <c r="C29" s="15">
        <f t="shared" ref="C29:C33" si="0">B29+(B29*0.05)</f>
        <v>1711.5</v>
      </c>
      <c r="D29" s="15"/>
      <c r="E29" s="14" t="s">
        <v>100</v>
      </c>
      <c r="F29" s="14" t="s">
        <v>54</v>
      </c>
    </row>
    <row r="30" spans="1:6" s="50" customFormat="1" ht="45" customHeight="1" x14ac:dyDescent="0.3">
      <c r="A30" s="36" t="s">
        <v>108</v>
      </c>
      <c r="B30" s="15">
        <v>1855</v>
      </c>
      <c r="C30" s="15">
        <f t="shared" si="0"/>
        <v>1947.75</v>
      </c>
      <c r="D30" s="15"/>
      <c r="E30" s="14" t="s">
        <v>97</v>
      </c>
      <c r="F30" s="14" t="s">
        <v>55</v>
      </c>
    </row>
    <row r="31" spans="1:6" x14ac:dyDescent="0.3">
      <c r="A31" s="2" t="s">
        <v>109</v>
      </c>
      <c r="B31" s="3">
        <v>1880</v>
      </c>
      <c r="C31" s="3">
        <f t="shared" si="0"/>
        <v>1974</v>
      </c>
      <c r="D31" s="3"/>
      <c r="E31" s="1" t="s">
        <v>101</v>
      </c>
      <c r="F31" s="1" t="s">
        <v>68</v>
      </c>
    </row>
    <row r="32" spans="1:6" x14ac:dyDescent="0.3">
      <c r="A32" s="2" t="s">
        <v>265</v>
      </c>
      <c r="B32" s="3">
        <v>2960</v>
      </c>
      <c r="C32" s="3">
        <f t="shared" si="0"/>
        <v>3108</v>
      </c>
      <c r="D32" s="3"/>
      <c r="E32" s="1" t="s">
        <v>241</v>
      </c>
      <c r="F32" s="1" t="s">
        <v>266</v>
      </c>
    </row>
    <row r="33" spans="1:6" x14ac:dyDescent="0.3">
      <c r="A33" s="2" t="s">
        <v>323</v>
      </c>
      <c r="B33" s="3">
        <v>4700</v>
      </c>
      <c r="C33" s="3">
        <f t="shared" si="0"/>
        <v>4935</v>
      </c>
      <c r="D33" s="3"/>
      <c r="E33" s="1" t="s">
        <v>324</v>
      </c>
      <c r="F33" s="1" t="s">
        <v>322</v>
      </c>
    </row>
    <row r="34" spans="1:6" x14ac:dyDescent="0.3">
      <c r="A34" s="61" t="s">
        <v>74</v>
      </c>
      <c r="B34" s="61"/>
      <c r="C34" s="61"/>
      <c r="D34" s="61"/>
      <c r="E34" s="61"/>
      <c r="F34" s="61"/>
    </row>
    <row r="35" spans="1:6" x14ac:dyDescent="0.3">
      <c r="A35" s="2" t="s">
        <v>376</v>
      </c>
      <c r="B35" s="3">
        <v>2685</v>
      </c>
      <c r="C35" s="2">
        <f>B35+(B35*0.05)</f>
        <v>2819.25</v>
      </c>
      <c r="D35" s="2"/>
      <c r="E35" s="1" t="s">
        <v>102</v>
      </c>
      <c r="F35" s="1" t="s">
        <v>75</v>
      </c>
    </row>
    <row r="36" spans="1:6" x14ac:dyDescent="0.3">
      <c r="A36" s="2" t="s">
        <v>377</v>
      </c>
      <c r="B36" s="3">
        <v>2650</v>
      </c>
      <c r="C36" s="2">
        <f>B36+(B36*0.05)</f>
        <v>2782.5</v>
      </c>
      <c r="D36" s="2"/>
      <c r="E36" s="1" t="s">
        <v>348</v>
      </c>
      <c r="F36" s="1" t="s">
        <v>349</v>
      </c>
    </row>
    <row r="37" spans="1:6" x14ac:dyDescent="0.3">
      <c r="A37" s="2" t="s">
        <v>378</v>
      </c>
      <c r="B37" s="3">
        <v>2750</v>
      </c>
      <c r="C37" s="2">
        <f>B37+(B37*0.05)</f>
        <v>2887.5</v>
      </c>
      <c r="D37" s="2"/>
      <c r="E37" s="1" t="s">
        <v>379</v>
      </c>
      <c r="F37" s="1" t="s">
        <v>380</v>
      </c>
    </row>
    <row r="38" spans="1:6" x14ac:dyDescent="0.3">
      <c r="A38" s="61" t="s">
        <v>134</v>
      </c>
      <c r="B38" s="61"/>
      <c r="C38" s="61"/>
      <c r="D38" s="61"/>
      <c r="E38" s="61"/>
      <c r="F38" s="61"/>
    </row>
    <row r="39" spans="1:6" x14ac:dyDescent="0.3">
      <c r="A39" s="2" t="s">
        <v>135</v>
      </c>
      <c r="B39" s="3">
        <v>3666</v>
      </c>
      <c r="C39" s="2">
        <f>B39+(B39*0.05)</f>
        <v>3849.3</v>
      </c>
      <c r="D39" s="2"/>
      <c r="E39" s="1" t="s">
        <v>136</v>
      </c>
      <c r="F39" s="1" t="s">
        <v>137</v>
      </c>
    </row>
    <row r="40" spans="1:6" x14ac:dyDescent="0.3">
      <c r="A40" s="61" t="s">
        <v>196</v>
      </c>
      <c r="B40" s="61"/>
      <c r="C40" s="61"/>
      <c r="D40" s="61"/>
      <c r="E40" s="61"/>
      <c r="F40" s="61"/>
    </row>
    <row r="41" spans="1:6" x14ac:dyDescent="0.3">
      <c r="A41" s="2" t="s">
        <v>197</v>
      </c>
      <c r="B41" s="3">
        <v>2845</v>
      </c>
      <c r="C41" s="2">
        <f>B41+(B41*0.05)</f>
        <v>2987.25</v>
      </c>
      <c r="D41" s="2"/>
      <c r="E41" s="1" t="s">
        <v>97</v>
      </c>
      <c r="F41" s="1" t="s">
        <v>198</v>
      </c>
    </row>
    <row r="42" spans="1:6" x14ac:dyDescent="0.3">
      <c r="A42" s="61" t="s">
        <v>240</v>
      </c>
      <c r="B42" s="61"/>
      <c r="C42" s="61"/>
      <c r="D42" s="61"/>
      <c r="E42" s="61"/>
      <c r="F42" s="61"/>
    </row>
    <row r="43" spans="1:6" s="50" customFormat="1" ht="45" customHeight="1" x14ac:dyDescent="0.3">
      <c r="A43" s="36" t="s">
        <v>240</v>
      </c>
      <c r="B43" s="15">
        <v>1750</v>
      </c>
      <c r="C43" s="36">
        <f>B43+(B43*0.05)</f>
        <v>1837.5</v>
      </c>
      <c r="D43" s="36"/>
      <c r="E43" s="14" t="s">
        <v>241</v>
      </c>
      <c r="F43" s="14" t="s">
        <v>242</v>
      </c>
    </row>
    <row r="44" spans="1:6" x14ac:dyDescent="0.3">
      <c r="A44" s="61" t="s">
        <v>332</v>
      </c>
      <c r="B44" s="61"/>
      <c r="C44" s="61"/>
      <c r="D44" s="61"/>
      <c r="E44" s="61"/>
      <c r="F44" s="61"/>
    </row>
    <row r="45" spans="1:6" x14ac:dyDescent="0.3">
      <c r="A45" s="2" t="s">
        <v>330</v>
      </c>
      <c r="B45" s="3">
        <v>1700</v>
      </c>
      <c r="C45" s="2">
        <f>B45+(B45*0.05)</f>
        <v>1785</v>
      </c>
      <c r="D45" s="2"/>
      <c r="E45" s="1" t="s">
        <v>174</v>
      </c>
      <c r="F45" s="1" t="s">
        <v>331</v>
      </c>
    </row>
    <row r="46" spans="1:6" x14ac:dyDescent="0.3">
      <c r="A46" s="61" t="s">
        <v>411</v>
      </c>
      <c r="B46" s="61"/>
      <c r="C46" s="61"/>
      <c r="D46" s="61"/>
      <c r="E46" s="61"/>
      <c r="F46" s="61"/>
    </row>
    <row r="47" spans="1:6" x14ac:dyDescent="0.3">
      <c r="A47" s="2" t="s">
        <v>411</v>
      </c>
      <c r="B47" s="37">
        <v>1150</v>
      </c>
      <c r="C47" s="2">
        <f>B47+(B47*0.05)</f>
        <v>1207.5</v>
      </c>
      <c r="D47" s="54"/>
      <c r="E47" s="38" t="s">
        <v>259</v>
      </c>
      <c r="F47" s="38" t="s">
        <v>412</v>
      </c>
    </row>
  </sheetData>
  <mergeCells count="14">
    <mergeCell ref="A46:F46"/>
    <mergeCell ref="A44:F44"/>
    <mergeCell ref="A42:F42"/>
    <mergeCell ref="A40:F40"/>
    <mergeCell ref="A38:F38"/>
    <mergeCell ref="A34:F34"/>
    <mergeCell ref="A2:F2"/>
    <mergeCell ref="A19:F19"/>
    <mergeCell ref="A26:F26"/>
    <mergeCell ref="A28:F28"/>
    <mergeCell ref="A8:F8"/>
    <mergeCell ref="A13:F13"/>
    <mergeCell ref="A21:F21"/>
    <mergeCell ref="A17:F17"/>
  </mergeCells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883C5-B20D-445D-BA1C-BCFF6A264511}">
  <sheetPr>
    <tabColor rgb="FF66FF99"/>
  </sheetPr>
  <dimension ref="A1:D3"/>
  <sheetViews>
    <sheetView topLeftCell="B1" workbookViewId="0">
      <selection activeCell="E1" sqref="E1:F1048576"/>
    </sheetView>
  </sheetViews>
  <sheetFormatPr defaultRowHeight="14.4" x14ac:dyDescent="0.3"/>
  <cols>
    <col min="1" max="1" width="34.21875" customWidth="1"/>
    <col min="2" max="2" width="13.21875" style="6" customWidth="1"/>
    <col min="3" max="4" width="8.88671875" hidden="1" customWidth="1"/>
  </cols>
  <sheetData>
    <row r="1" spans="1:4" x14ac:dyDescent="0.3">
      <c r="A1" s="5" t="s">
        <v>0</v>
      </c>
      <c r="B1" s="1" t="s">
        <v>139</v>
      </c>
      <c r="C1" s="5" t="s">
        <v>1</v>
      </c>
      <c r="D1" s="5" t="s">
        <v>32</v>
      </c>
    </row>
    <row r="2" spans="1:4" x14ac:dyDescent="0.3">
      <c r="A2" s="64" t="s">
        <v>138</v>
      </c>
      <c r="B2" s="64"/>
      <c r="C2" s="64"/>
      <c r="D2" s="64"/>
    </row>
    <row r="3" spans="1:4" x14ac:dyDescent="0.3">
      <c r="A3" s="2" t="s">
        <v>140</v>
      </c>
      <c r="B3" s="3">
        <v>250</v>
      </c>
      <c r="C3" s="2">
        <v>680</v>
      </c>
      <c r="D3" s="2">
        <f>C3+(C3*0.1)</f>
        <v>748</v>
      </c>
    </row>
  </sheetData>
  <mergeCells count="1">
    <mergeCell ref="A2:D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15930-72EC-4DFE-A2D6-A9D46B231579}">
  <sheetPr>
    <tabColor rgb="FF00B050"/>
  </sheetPr>
  <dimension ref="A1:E3"/>
  <sheetViews>
    <sheetView workbookViewId="0">
      <selection activeCell="F1" sqref="F1:F1048576"/>
    </sheetView>
  </sheetViews>
  <sheetFormatPr defaultRowHeight="14.4" x14ac:dyDescent="0.3"/>
  <cols>
    <col min="1" max="1" width="35.6640625" customWidth="1"/>
    <col min="2" max="2" width="10.33203125" style="10" customWidth="1"/>
    <col min="3" max="4" width="0" style="6" hidden="1" customWidth="1"/>
    <col min="5" max="5" width="8.88671875" style="6"/>
  </cols>
  <sheetData>
    <row r="1" spans="1:5" s="4" customFormat="1" x14ac:dyDescent="0.3">
      <c r="A1" s="5" t="s">
        <v>0</v>
      </c>
      <c r="B1" s="1" t="s">
        <v>10</v>
      </c>
      <c r="C1" s="1" t="s">
        <v>1</v>
      </c>
      <c r="D1" s="1" t="s">
        <v>32</v>
      </c>
      <c r="E1" s="1" t="s">
        <v>87</v>
      </c>
    </row>
    <row r="2" spans="1:5" s="4" customFormat="1" x14ac:dyDescent="0.3">
      <c r="A2" s="56" t="s">
        <v>3</v>
      </c>
      <c r="B2" s="56"/>
      <c r="C2" s="56"/>
      <c r="D2" s="56"/>
      <c r="E2" s="56"/>
    </row>
    <row r="3" spans="1:5" x14ac:dyDescent="0.3">
      <c r="A3" s="2" t="s">
        <v>426</v>
      </c>
      <c r="B3" s="1" t="s">
        <v>469</v>
      </c>
      <c r="C3" s="3">
        <v>1000</v>
      </c>
      <c r="D3" s="3">
        <f>C3+(C3*0.1)</f>
        <v>1100</v>
      </c>
      <c r="E3" s="3">
        <v>650</v>
      </c>
    </row>
  </sheetData>
  <mergeCells count="1">
    <mergeCell ref="A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A1756-55F5-46B0-98F5-B1308B9E2C1F}">
  <sheetPr>
    <tabColor rgb="FFFF0000"/>
  </sheetPr>
  <dimension ref="A1:E3"/>
  <sheetViews>
    <sheetView workbookViewId="0">
      <selection activeCell="F1" sqref="F1:F1048576"/>
    </sheetView>
  </sheetViews>
  <sheetFormatPr defaultRowHeight="14.4" x14ac:dyDescent="0.3"/>
  <cols>
    <col min="1" max="1" width="28.109375" customWidth="1"/>
    <col min="2" max="2" width="8.88671875" style="10"/>
    <col min="3" max="3" width="13.33203125" style="6" customWidth="1"/>
    <col min="4" max="5" width="0" hidden="1" customWidth="1"/>
  </cols>
  <sheetData>
    <row r="1" spans="1:5" s="6" customFormat="1" x14ac:dyDescent="0.3">
      <c r="A1" s="1" t="s">
        <v>0</v>
      </c>
      <c r="B1" s="1" t="s">
        <v>87</v>
      </c>
      <c r="C1" s="1" t="s">
        <v>10</v>
      </c>
      <c r="D1" s="1" t="s">
        <v>1</v>
      </c>
      <c r="E1" s="1" t="s">
        <v>32</v>
      </c>
    </row>
    <row r="2" spans="1:5" s="6" customFormat="1" x14ac:dyDescent="0.3">
      <c r="A2" s="65" t="s">
        <v>42</v>
      </c>
      <c r="B2" s="65"/>
      <c r="C2" s="65"/>
      <c r="D2" s="65"/>
      <c r="E2" s="65"/>
    </row>
    <row r="3" spans="1:5" x14ac:dyDescent="0.3">
      <c r="A3" s="2" t="s">
        <v>56</v>
      </c>
      <c r="B3" s="1">
        <v>850</v>
      </c>
      <c r="C3" s="3" t="s">
        <v>443</v>
      </c>
      <c r="D3" s="2">
        <v>820</v>
      </c>
      <c r="E3" s="2">
        <f>D3+(D3*0.1)</f>
        <v>902</v>
      </c>
    </row>
  </sheetData>
  <mergeCells count="1">
    <mergeCell ref="A2:E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4231C-9FB8-4267-8EFC-E858FD8690B4}">
  <sheetPr>
    <tabColor rgb="FF6600FF"/>
  </sheetPr>
  <dimension ref="A1:D5"/>
  <sheetViews>
    <sheetView workbookViewId="0">
      <selection activeCell="E1" sqref="E1:E1048576"/>
    </sheetView>
  </sheetViews>
  <sheetFormatPr defaultRowHeight="14.4" x14ac:dyDescent="0.3"/>
  <cols>
    <col min="1" max="1" width="29.77734375" customWidth="1"/>
    <col min="2" max="4" width="8.88671875" hidden="1" customWidth="1"/>
  </cols>
  <sheetData>
    <row r="1" spans="1:4" x14ac:dyDescent="0.3">
      <c r="A1" s="5" t="s">
        <v>0</v>
      </c>
      <c r="B1" s="5" t="s">
        <v>1</v>
      </c>
      <c r="C1" s="5" t="s">
        <v>36</v>
      </c>
      <c r="D1" s="5" t="s">
        <v>32</v>
      </c>
    </row>
    <row r="2" spans="1:4" x14ac:dyDescent="0.3">
      <c r="A2" s="66" t="s">
        <v>63</v>
      </c>
      <c r="B2" s="66"/>
      <c r="C2" s="66"/>
      <c r="D2" s="66"/>
    </row>
    <row r="3" spans="1:4" x14ac:dyDescent="0.3">
      <c r="A3" s="2" t="s">
        <v>64</v>
      </c>
      <c r="B3" s="2">
        <v>800</v>
      </c>
      <c r="C3" s="2">
        <f>B3+(B3*0.18)</f>
        <v>944</v>
      </c>
      <c r="D3" s="2">
        <f>C3+(C3*0.2)</f>
        <v>1132.8</v>
      </c>
    </row>
    <row r="4" spans="1:4" x14ac:dyDescent="0.3">
      <c r="A4" s="2" t="s">
        <v>65</v>
      </c>
      <c r="B4" s="2">
        <v>900</v>
      </c>
      <c r="C4" s="2">
        <f t="shared" ref="C4:C5" si="0">B4+(B4*0.18)</f>
        <v>1062</v>
      </c>
      <c r="D4" s="2">
        <f t="shared" ref="D4:D5" si="1">C4+(C4*0.2)</f>
        <v>1274.4000000000001</v>
      </c>
    </row>
    <row r="5" spans="1:4" x14ac:dyDescent="0.3">
      <c r="A5" s="2" t="s">
        <v>66</v>
      </c>
      <c r="B5" s="2">
        <v>950</v>
      </c>
      <c r="C5" s="2">
        <f t="shared" si="0"/>
        <v>1121</v>
      </c>
      <c r="D5" s="2">
        <f t="shared" si="1"/>
        <v>1345.2</v>
      </c>
    </row>
  </sheetData>
  <mergeCells count="1">
    <mergeCell ref="A2:D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F0502-8AA5-4301-B901-99D0B1F9F70B}">
  <sheetPr>
    <tabColor rgb="FF002060"/>
  </sheetPr>
  <dimension ref="A1:E9"/>
  <sheetViews>
    <sheetView workbookViewId="0">
      <selection activeCell="F1" sqref="F1:F1048576"/>
    </sheetView>
  </sheetViews>
  <sheetFormatPr defaultRowHeight="14.4" x14ac:dyDescent="0.3"/>
  <cols>
    <col min="1" max="1" width="35" customWidth="1"/>
    <col min="2" max="2" width="11.88671875" style="10" customWidth="1"/>
    <col min="4" max="5" width="0" hidden="1" customWidth="1"/>
  </cols>
  <sheetData>
    <row r="1" spans="1:5" x14ac:dyDescent="0.3">
      <c r="A1" s="5" t="s">
        <v>0</v>
      </c>
      <c r="B1" s="1" t="s">
        <v>10</v>
      </c>
      <c r="C1" s="1" t="s">
        <v>87</v>
      </c>
      <c r="D1" s="1" t="s">
        <v>1</v>
      </c>
      <c r="E1" s="1" t="s">
        <v>32</v>
      </c>
    </row>
    <row r="2" spans="1:5" x14ac:dyDescent="0.3">
      <c r="A2" s="67" t="s">
        <v>296</v>
      </c>
      <c r="B2" s="68"/>
      <c r="C2" s="68"/>
      <c r="D2" s="68"/>
      <c r="E2" s="68"/>
    </row>
    <row r="3" spans="1:5" x14ac:dyDescent="0.3">
      <c r="A3" s="2" t="s">
        <v>395</v>
      </c>
      <c r="B3" s="1" t="s">
        <v>399</v>
      </c>
      <c r="C3" s="2"/>
      <c r="D3" s="2">
        <v>1850</v>
      </c>
      <c r="E3" s="2">
        <f>D3+(D3*0.1)</f>
        <v>2035</v>
      </c>
    </row>
    <row r="4" spans="1:5" x14ac:dyDescent="0.3">
      <c r="A4" s="2" t="s">
        <v>396</v>
      </c>
      <c r="B4" s="1" t="s">
        <v>400</v>
      </c>
      <c r="C4" s="2"/>
      <c r="D4" s="2">
        <v>2000</v>
      </c>
      <c r="E4" s="2">
        <f t="shared" ref="E4:E9" si="0">D4+(D4*0.1)</f>
        <v>2200</v>
      </c>
    </row>
    <row r="5" spans="1:5" x14ac:dyDescent="0.3">
      <c r="A5" s="2" t="s">
        <v>397</v>
      </c>
      <c r="B5" s="1" t="s">
        <v>401</v>
      </c>
      <c r="C5" s="2"/>
      <c r="D5" s="2">
        <v>2150</v>
      </c>
      <c r="E5" s="2">
        <f t="shared" si="0"/>
        <v>2365</v>
      </c>
    </row>
    <row r="6" spans="1:5" x14ac:dyDescent="0.3">
      <c r="A6" s="2" t="s">
        <v>398</v>
      </c>
      <c r="B6" s="1" t="s">
        <v>402</v>
      </c>
      <c r="C6" s="2"/>
      <c r="D6" s="2">
        <v>2500</v>
      </c>
      <c r="E6" s="2">
        <f t="shared" si="0"/>
        <v>2750</v>
      </c>
    </row>
    <row r="7" spans="1:5" x14ac:dyDescent="0.3">
      <c r="A7" s="67" t="s">
        <v>403</v>
      </c>
      <c r="B7" s="68"/>
      <c r="C7" s="68"/>
      <c r="D7" s="68"/>
      <c r="E7" s="68"/>
    </row>
    <row r="8" spans="1:5" x14ac:dyDescent="0.3">
      <c r="A8" s="2" t="s">
        <v>405</v>
      </c>
      <c r="B8" s="1" t="s">
        <v>404</v>
      </c>
      <c r="C8" s="2"/>
      <c r="D8" s="2">
        <v>1800</v>
      </c>
      <c r="E8" s="2">
        <f t="shared" si="0"/>
        <v>1980</v>
      </c>
    </row>
    <row r="9" spans="1:5" x14ac:dyDescent="0.3">
      <c r="A9" s="2" t="s">
        <v>407</v>
      </c>
      <c r="B9" s="1" t="s">
        <v>406</v>
      </c>
      <c r="C9" s="2"/>
      <c r="D9" s="2">
        <v>3530</v>
      </c>
      <c r="E9" s="2">
        <f t="shared" si="0"/>
        <v>3883</v>
      </c>
    </row>
  </sheetData>
  <mergeCells count="2">
    <mergeCell ref="A2:E2"/>
    <mergeCell ref="A7:E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288A0-88BE-462C-A880-B844B082CD5C}">
  <sheetPr>
    <tabColor rgb="FF66FF99"/>
  </sheetPr>
  <dimension ref="A1:E5"/>
  <sheetViews>
    <sheetView workbookViewId="0">
      <selection activeCell="F1" sqref="F1:F1048576"/>
    </sheetView>
  </sheetViews>
  <sheetFormatPr defaultRowHeight="14.4" x14ac:dyDescent="0.3"/>
  <cols>
    <col min="1" max="1" width="32.77734375" customWidth="1"/>
    <col min="2" max="2" width="8.88671875" style="6"/>
    <col min="3" max="3" width="12.5546875" style="6" customWidth="1"/>
    <col min="4" max="5" width="8.88671875" style="6" hidden="1" customWidth="1"/>
  </cols>
  <sheetData>
    <row r="1" spans="1:5" x14ac:dyDescent="0.3">
      <c r="A1" s="5" t="s">
        <v>0</v>
      </c>
      <c r="B1" s="1" t="s">
        <v>87</v>
      </c>
      <c r="C1" s="1" t="s">
        <v>201</v>
      </c>
      <c r="D1" s="1" t="s">
        <v>1</v>
      </c>
      <c r="E1" s="1" t="s">
        <v>32</v>
      </c>
    </row>
    <row r="2" spans="1:5" x14ac:dyDescent="0.3">
      <c r="A2" s="64" t="s">
        <v>199</v>
      </c>
      <c r="B2" s="64"/>
      <c r="C2" s="64"/>
      <c r="D2" s="64"/>
      <c r="E2" s="64"/>
    </row>
    <row r="3" spans="1:5" x14ac:dyDescent="0.3">
      <c r="A3" s="30" t="s">
        <v>306</v>
      </c>
      <c r="B3" s="1">
        <v>2200</v>
      </c>
      <c r="C3" s="3">
        <v>210</v>
      </c>
      <c r="D3" s="3">
        <v>2900</v>
      </c>
      <c r="E3" s="3">
        <f>D3+(D3*0.1)</f>
        <v>3190</v>
      </c>
    </row>
    <row r="4" spans="1:5" x14ac:dyDescent="0.3">
      <c r="A4" s="64" t="s">
        <v>202</v>
      </c>
      <c r="B4" s="64"/>
      <c r="C4" s="64"/>
      <c r="D4" s="64"/>
      <c r="E4" s="64"/>
    </row>
    <row r="5" spans="1:5" x14ac:dyDescent="0.3">
      <c r="A5" s="2" t="s">
        <v>318</v>
      </c>
      <c r="B5" s="1">
        <v>580</v>
      </c>
      <c r="C5" s="3" t="s">
        <v>203</v>
      </c>
      <c r="D5" s="3">
        <v>600</v>
      </c>
      <c r="E5" s="3">
        <f>D5+(D5*0.1)</f>
        <v>660</v>
      </c>
    </row>
  </sheetData>
  <mergeCells count="2">
    <mergeCell ref="A2:E2"/>
    <mergeCell ref="A4:E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E776C-326C-41DE-B695-C1A3D89AA978}">
  <sheetPr>
    <tabColor rgb="FF00B050"/>
  </sheetPr>
  <dimension ref="A1:F4"/>
  <sheetViews>
    <sheetView zoomScale="86" zoomScaleNormal="86" workbookViewId="0">
      <selection activeCell="G1" sqref="G1:G1048576"/>
    </sheetView>
  </sheetViews>
  <sheetFormatPr defaultRowHeight="14.4" x14ac:dyDescent="0.3"/>
  <cols>
    <col min="1" max="1" width="24.33203125" customWidth="1"/>
    <col min="2" max="2" width="8.77734375" style="10" customWidth="1"/>
    <col min="3" max="3" width="15.6640625" customWidth="1"/>
    <col min="4" max="4" width="13" style="10" customWidth="1"/>
    <col min="5" max="5" width="0" style="6" hidden="1" customWidth="1"/>
    <col min="6" max="6" width="0" hidden="1" customWidth="1"/>
  </cols>
  <sheetData>
    <row r="1" spans="1:6" x14ac:dyDescent="0.3">
      <c r="A1" s="5" t="s">
        <v>0</v>
      </c>
      <c r="B1" s="1" t="s">
        <v>87</v>
      </c>
      <c r="C1" s="5" t="s">
        <v>373</v>
      </c>
      <c r="D1" s="1" t="s">
        <v>10</v>
      </c>
      <c r="E1" s="1" t="s">
        <v>1</v>
      </c>
      <c r="F1" s="5" t="s">
        <v>16</v>
      </c>
    </row>
    <row r="2" spans="1:6" x14ac:dyDescent="0.3">
      <c r="A2" s="56" t="s">
        <v>391</v>
      </c>
      <c r="B2" s="56"/>
      <c r="C2" s="56"/>
      <c r="D2" s="56"/>
      <c r="E2" s="56"/>
      <c r="F2" s="56"/>
    </row>
    <row r="3" spans="1:6" s="50" customFormat="1" ht="45" customHeight="1" x14ac:dyDescent="0.3">
      <c r="A3" s="36" t="s">
        <v>496</v>
      </c>
      <c r="B3" s="14">
        <v>2200</v>
      </c>
      <c r="C3" s="36"/>
      <c r="D3" s="14" t="s">
        <v>495</v>
      </c>
      <c r="E3" s="15">
        <v>10155</v>
      </c>
      <c r="F3" s="36">
        <f>E3+(E3*0.05)</f>
        <v>10662.75</v>
      </c>
    </row>
    <row r="4" spans="1:6" s="50" customFormat="1" ht="45" customHeight="1" x14ac:dyDescent="0.3">
      <c r="A4" s="36" t="s">
        <v>497</v>
      </c>
      <c r="B4" s="14">
        <v>2200</v>
      </c>
      <c r="C4" s="36"/>
      <c r="D4" s="14" t="s">
        <v>498</v>
      </c>
      <c r="E4" s="15">
        <v>7680</v>
      </c>
      <c r="F4" s="36">
        <f>E4+(E4*0.05)</f>
        <v>8064</v>
      </c>
    </row>
  </sheetData>
  <mergeCells count="1">
    <mergeCell ref="A2:F2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03750-8B61-40BD-A02F-F7CE77432E73}">
  <sheetPr>
    <tabColor theme="7" tint="0.39997558519241921"/>
  </sheetPr>
  <dimension ref="A1:E3"/>
  <sheetViews>
    <sheetView workbookViewId="0">
      <selection activeCell="F1" sqref="F1:F1048576"/>
    </sheetView>
  </sheetViews>
  <sheetFormatPr defaultRowHeight="14.4" x14ac:dyDescent="0.3"/>
  <cols>
    <col min="1" max="1" width="28.33203125" customWidth="1"/>
    <col min="2" max="2" width="10.44140625" style="10" customWidth="1"/>
    <col min="3" max="3" width="8.88671875" style="6"/>
    <col min="4" max="5" width="0" hidden="1" customWidth="1"/>
  </cols>
  <sheetData>
    <row r="1" spans="1:5" x14ac:dyDescent="0.3">
      <c r="A1" s="3" t="s">
        <v>0</v>
      </c>
      <c r="B1" s="1" t="s">
        <v>10</v>
      </c>
      <c r="C1" s="3" t="s">
        <v>87</v>
      </c>
      <c r="D1" s="3" t="s">
        <v>1</v>
      </c>
      <c r="E1" s="3" t="s">
        <v>32</v>
      </c>
    </row>
    <row r="2" spans="1:5" x14ac:dyDescent="0.3">
      <c r="A2" s="69" t="s">
        <v>42</v>
      </c>
      <c r="B2" s="70"/>
      <c r="C2" s="70"/>
      <c r="D2" s="70"/>
      <c r="E2" s="70"/>
    </row>
    <row r="3" spans="1:5" x14ac:dyDescent="0.3">
      <c r="A3" s="2" t="s">
        <v>56</v>
      </c>
      <c r="B3" s="1" t="s">
        <v>313</v>
      </c>
      <c r="C3" s="3">
        <v>850</v>
      </c>
      <c r="D3" s="2">
        <v>818</v>
      </c>
      <c r="E3" s="2">
        <f>D3+(D3*0.1)</f>
        <v>899.8</v>
      </c>
    </row>
  </sheetData>
  <mergeCells count="1">
    <mergeCell ref="A2:E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EC4F3-174D-40C4-A951-EF876F8040D8}">
  <sheetPr>
    <tabColor rgb="FFFFFF00"/>
  </sheetPr>
  <dimension ref="A1:C17"/>
  <sheetViews>
    <sheetView workbookViewId="0">
      <selection activeCell="D1" sqref="D1:E1048576"/>
    </sheetView>
  </sheetViews>
  <sheetFormatPr defaultRowHeight="14.4" x14ac:dyDescent="0.3"/>
  <cols>
    <col min="1" max="1" width="32.33203125" customWidth="1"/>
    <col min="2" max="3" width="8.88671875" hidden="1" customWidth="1"/>
  </cols>
  <sheetData>
    <row r="1" spans="1:3" x14ac:dyDescent="0.3">
      <c r="A1" s="7" t="s">
        <v>0</v>
      </c>
      <c r="B1" s="7" t="s">
        <v>1</v>
      </c>
      <c r="C1" s="7" t="s">
        <v>16</v>
      </c>
    </row>
    <row r="2" spans="1:3" x14ac:dyDescent="0.3">
      <c r="A2" s="71" t="s">
        <v>17</v>
      </c>
      <c r="B2" s="71"/>
      <c r="C2" s="71"/>
    </row>
    <row r="3" spans="1:3" x14ac:dyDescent="0.3">
      <c r="A3" s="71" t="s">
        <v>18</v>
      </c>
      <c r="B3" s="71"/>
      <c r="C3" s="71"/>
    </row>
    <row r="4" spans="1:3" x14ac:dyDescent="0.3">
      <c r="A4" s="8" t="s">
        <v>23</v>
      </c>
      <c r="B4" s="8">
        <v>200</v>
      </c>
      <c r="C4" s="8">
        <f>B4+(B4*0.1)</f>
        <v>220</v>
      </c>
    </row>
    <row r="5" spans="1:3" x14ac:dyDescent="0.3">
      <c r="A5" s="8" t="s">
        <v>24</v>
      </c>
      <c r="B5" s="8">
        <v>220</v>
      </c>
      <c r="C5" s="8">
        <f t="shared" ref="C5:C9" si="0">B5+(B5*0.1)</f>
        <v>242</v>
      </c>
    </row>
    <row r="6" spans="1:3" x14ac:dyDescent="0.3">
      <c r="A6" s="8" t="s">
        <v>25</v>
      </c>
      <c r="B6" s="8">
        <v>250</v>
      </c>
      <c r="C6" s="8">
        <f t="shared" si="0"/>
        <v>275</v>
      </c>
    </row>
    <row r="7" spans="1:3" x14ac:dyDescent="0.3">
      <c r="A7" s="8" t="s">
        <v>27</v>
      </c>
      <c r="B7" s="8">
        <v>550</v>
      </c>
      <c r="C7" s="8">
        <f t="shared" si="0"/>
        <v>605</v>
      </c>
    </row>
    <row r="8" spans="1:3" x14ac:dyDescent="0.3">
      <c r="A8" s="8" t="s">
        <v>117</v>
      </c>
      <c r="B8" s="8">
        <v>625</v>
      </c>
      <c r="C8" s="8">
        <f t="shared" si="0"/>
        <v>687.5</v>
      </c>
    </row>
    <row r="9" spans="1:3" x14ac:dyDescent="0.3">
      <c r="A9" s="8" t="s">
        <v>26</v>
      </c>
      <c r="B9" s="8">
        <v>1300</v>
      </c>
      <c r="C9" s="8">
        <f t="shared" si="0"/>
        <v>1430</v>
      </c>
    </row>
    <row r="10" spans="1:3" x14ac:dyDescent="0.3">
      <c r="A10" s="71" t="s">
        <v>19</v>
      </c>
      <c r="B10" s="71"/>
      <c r="C10" s="71"/>
    </row>
    <row r="11" spans="1:3" s="17" customFormat="1" x14ac:dyDescent="0.3">
      <c r="A11" s="18" t="s">
        <v>116</v>
      </c>
      <c r="B11" s="19">
        <v>2240</v>
      </c>
      <c r="C11" s="8">
        <f>B11+(B11*0.1)</f>
        <v>2464</v>
      </c>
    </row>
    <row r="12" spans="1:3" x14ac:dyDescent="0.3">
      <c r="A12" s="8" t="s">
        <v>21</v>
      </c>
      <c r="B12" s="8">
        <v>2400</v>
      </c>
      <c r="C12" s="8">
        <f>B12+(B12*0.1)</f>
        <v>2640</v>
      </c>
    </row>
    <row r="13" spans="1:3" x14ac:dyDescent="0.3">
      <c r="A13" s="8" t="s">
        <v>22</v>
      </c>
      <c r="B13" s="8">
        <v>2900</v>
      </c>
      <c r="C13" s="8">
        <f>B13+(B13*0.1)</f>
        <v>3190</v>
      </c>
    </row>
    <row r="14" spans="1:3" x14ac:dyDescent="0.3">
      <c r="A14" s="71" t="s">
        <v>20</v>
      </c>
      <c r="B14" s="71"/>
      <c r="C14" s="71"/>
    </row>
    <row r="15" spans="1:3" x14ac:dyDescent="0.3">
      <c r="A15" s="8" t="s">
        <v>28</v>
      </c>
      <c r="B15" s="8">
        <v>2600</v>
      </c>
      <c r="C15" s="8">
        <f>B15+(B15*0.1)</f>
        <v>2860</v>
      </c>
    </row>
    <row r="16" spans="1:3" x14ac:dyDescent="0.3">
      <c r="A16" s="72" t="s">
        <v>304</v>
      </c>
      <c r="B16" s="72"/>
      <c r="C16" s="72"/>
    </row>
    <row r="17" spans="1:3" x14ac:dyDescent="0.3">
      <c r="A17" s="2" t="s">
        <v>303</v>
      </c>
      <c r="B17" s="2">
        <v>7500</v>
      </c>
      <c r="C17" s="2">
        <f>B17+(B17*0.1)</f>
        <v>8250</v>
      </c>
    </row>
  </sheetData>
  <mergeCells count="5">
    <mergeCell ref="A14:C14"/>
    <mergeCell ref="A2:C2"/>
    <mergeCell ref="A3:C3"/>
    <mergeCell ref="A10:C10"/>
    <mergeCell ref="A16:C1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7C1C8-AE2C-4279-BFB0-FF71B768FF25}">
  <sheetPr>
    <tabColor rgb="FFFFC000"/>
  </sheetPr>
  <dimension ref="A1:D5"/>
  <sheetViews>
    <sheetView zoomScaleNormal="60" zoomScaleSheetLayoutView="100" workbookViewId="0">
      <selection activeCell="E1" sqref="E1:E1048576"/>
    </sheetView>
  </sheetViews>
  <sheetFormatPr defaultRowHeight="14.4" x14ac:dyDescent="0.3"/>
  <cols>
    <col min="1" max="1" width="37.5546875" customWidth="1"/>
    <col min="2" max="4" width="0" hidden="1" customWidth="1"/>
  </cols>
  <sheetData>
    <row r="1" spans="1:4" x14ac:dyDescent="0.3">
      <c r="A1" s="1" t="s">
        <v>0</v>
      </c>
      <c r="B1" s="1" t="s">
        <v>1</v>
      </c>
      <c r="C1" s="1" t="s">
        <v>147</v>
      </c>
      <c r="D1" s="1" t="s">
        <v>32</v>
      </c>
    </row>
    <row r="2" spans="1:4" x14ac:dyDescent="0.3">
      <c r="A2" s="73" t="s">
        <v>260</v>
      </c>
      <c r="B2" s="73"/>
      <c r="C2" s="73"/>
      <c r="D2" s="73"/>
    </row>
    <row r="3" spans="1:4" x14ac:dyDescent="0.3">
      <c r="A3" s="2" t="s">
        <v>260</v>
      </c>
      <c r="B3" s="2">
        <v>1000</v>
      </c>
      <c r="C3" s="2">
        <f>B3+(B3*0.04)</f>
        <v>1040</v>
      </c>
      <c r="D3" s="2">
        <f>C3+(C3*0.1)</f>
        <v>1144</v>
      </c>
    </row>
    <row r="4" spans="1:4" x14ac:dyDescent="0.3">
      <c r="A4" s="73" t="s">
        <v>418</v>
      </c>
      <c r="B4" s="73"/>
      <c r="C4" s="73"/>
      <c r="D4" s="73"/>
    </row>
    <row r="5" spans="1:4" x14ac:dyDescent="0.3">
      <c r="A5" s="2" t="s">
        <v>418</v>
      </c>
      <c r="B5" s="2">
        <v>1000</v>
      </c>
      <c r="C5" s="2">
        <f>B5+(B5*0.04)</f>
        <v>1040</v>
      </c>
      <c r="D5" s="2">
        <f>C5+(C5*0.1)</f>
        <v>1144</v>
      </c>
    </row>
  </sheetData>
  <mergeCells count="2">
    <mergeCell ref="A2:D2"/>
    <mergeCell ref="A4:D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960CC-3029-4255-B9DF-4434E369B1A8}">
  <sheetPr>
    <tabColor rgb="FF66CCFF"/>
  </sheetPr>
  <dimension ref="A1:F7"/>
  <sheetViews>
    <sheetView workbookViewId="0">
      <selection activeCell="G1" sqref="G1:H1048576"/>
    </sheetView>
  </sheetViews>
  <sheetFormatPr defaultRowHeight="14.4" x14ac:dyDescent="0.3"/>
  <cols>
    <col min="1" max="1" width="34" customWidth="1"/>
    <col min="2" max="2" width="34" style="10" customWidth="1"/>
    <col min="3" max="3" width="8.88671875" style="10"/>
    <col min="4" max="6" width="0" style="6" hidden="1" customWidth="1"/>
  </cols>
  <sheetData>
    <row r="1" spans="1:6" x14ac:dyDescent="0.3">
      <c r="A1" s="5" t="s">
        <v>0</v>
      </c>
      <c r="B1" s="1" t="s">
        <v>10</v>
      </c>
      <c r="C1" s="1" t="s">
        <v>87</v>
      </c>
      <c r="D1" s="1" t="s">
        <v>1</v>
      </c>
      <c r="E1" s="1" t="s">
        <v>424</v>
      </c>
      <c r="F1" s="1" t="s">
        <v>32</v>
      </c>
    </row>
    <row r="2" spans="1:6" x14ac:dyDescent="0.3">
      <c r="A2" s="74" t="s">
        <v>42</v>
      </c>
      <c r="B2" s="74"/>
      <c r="C2" s="74"/>
      <c r="D2" s="74"/>
      <c r="E2" s="74"/>
      <c r="F2" s="74"/>
    </row>
    <row r="3" spans="1:6" x14ac:dyDescent="0.3">
      <c r="A3" s="2" t="s">
        <v>343</v>
      </c>
      <c r="B3" s="1" t="s">
        <v>427</v>
      </c>
      <c r="C3" s="1">
        <v>710</v>
      </c>
      <c r="D3" s="3">
        <v>3776</v>
      </c>
      <c r="E3" s="3">
        <f>D3-(D3*0.15)</f>
        <v>3209.6</v>
      </c>
      <c r="F3" s="3">
        <f>E3+(E3*0.05)</f>
        <v>3370.08</v>
      </c>
    </row>
    <row r="4" spans="1:6" x14ac:dyDescent="0.3">
      <c r="A4" s="2" t="s">
        <v>343</v>
      </c>
      <c r="B4" s="1" t="s">
        <v>428</v>
      </c>
      <c r="C4" s="1">
        <v>850</v>
      </c>
      <c r="D4" s="3">
        <v>3127</v>
      </c>
      <c r="E4" s="3"/>
      <c r="F4" s="3">
        <f>D4+(D4*0.05)</f>
        <v>3283.35</v>
      </c>
    </row>
    <row r="5" spans="1:6" x14ac:dyDescent="0.3">
      <c r="A5" s="74" t="s">
        <v>78</v>
      </c>
      <c r="B5" s="74"/>
      <c r="C5" s="74"/>
      <c r="D5" s="74"/>
      <c r="E5" s="74"/>
      <c r="F5" s="74"/>
    </row>
    <row r="6" spans="1:6" x14ac:dyDescent="0.3">
      <c r="A6" s="2" t="s">
        <v>425</v>
      </c>
      <c r="B6" s="1" t="s">
        <v>429</v>
      </c>
      <c r="C6" s="1">
        <v>400</v>
      </c>
      <c r="D6" s="3">
        <v>2470</v>
      </c>
      <c r="E6" s="3">
        <f t="shared" ref="E6:E7" si="0">D6-(D6*0.15)</f>
        <v>2099.5</v>
      </c>
      <c r="F6" s="3">
        <f t="shared" ref="F6:F7" si="1">D6+(D6*0.05)</f>
        <v>2593.5</v>
      </c>
    </row>
    <row r="7" spans="1:6" x14ac:dyDescent="0.3">
      <c r="A7" s="2" t="s">
        <v>426</v>
      </c>
      <c r="B7" s="1" t="s">
        <v>430</v>
      </c>
      <c r="C7" s="1">
        <v>500</v>
      </c>
      <c r="D7" s="3">
        <v>2940</v>
      </c>
      <c r="E7" s="3">
        <f t="shared" si="0"/>
        <v>2499</v>
      </c>
      <c r="F7" s="3">
        <f t="shared" si="1"/>
        <v>3087</v>
      </c>
    </row>
  </sheetData>
  <mergeCells count="2">
    <mergeCell ref="A2:F2"/>
    <mergeCell ref="A5:F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84A2E-4DA2-430B-B12F-E74E44EB285B}">
  <sheetPr>
    <tabColor theme="5" tint="0.39997558519241921"/>
  </sheetPr>
  <dimension ref="A1:C4"/>
  <sheetViews>
    <sheetView workbookViewId="0">
      <selection activeCell="D1" sqref="D1:D1048576"/>
    </sheetView>
  </sheetViews>
  <sheetFormatPr defaultRowHeight="14.4" x14ac:dyDescent="0.3"/>
  <cols>
    <col min="1" max="1" width="32.44140625" customWidth="1"/>
    <col min="2" max="3" width="0" hidden="1" customWidth="1"/>
  </cols>
  <sheetData>
    <row r="1" spans="1:3" x14ac:dyDescent="0.3">
      <c r="A1" s="1" t="s">
        <v>0</v>
      </c>
      <c r="B1" s="5" t="s">
        <v>1</v>
      </c>
      <c r="C1" s="5" t="s">
        <v>32</v>
      </c>
    </row>
    <row r="2" spans="1:3" x14ac:dyDescent="0.3">
      <c r="A2" s="75" t="s">
        <v>431</v>
      </c>
      <c r="B2" s="75"/>
      <c r="C2" s="75"/>
    </row>
    <row r="3" spans="1:3" x14ac:dyDescent="0.3">
      <c r="A3" s="2" t="s">
        <v>432</v>
      </c>
      <c r="B3" s="2">
        <v>70</v>
      </c>
      <c r="C3" s="2">
        <f>B3+(B3*1)</f>
        <v>140</v>
      </c>
    </row>
    <row r="4" spans="1:3" x14ac:dyDescent="0.3">
      <c r="A4" s="2" t="s">
        <v>433</v>
      </c>
      <c r="B4" s="2">
        <v>90</v>
      </c>
      <c r="C4" s="2">
        <f>B4+(B4*1)</f>
        <v>180</v>
      </c>
    </row>
  </sheetData>
  <mergeCells count="1">
    <mergeCell ref="A2:C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8F834-7663-4BB4-91FA-0DC5FA525630}">
  <sheetPr>
    <tabColor theme="7" tint="0.39997558519241921"/>
  </sheetPr>
  <dimension ref="A1:E9"/>
  <sheetViews>
    <sheetView workbookViewId="0">
      <selection activeCell="F1" sqref="F1:F1048576"/>
    </sheetView>
  </sheetViews>
  <sheetFormatPr defaultRowHeight="14.4" x14ac:dyDescent="0.3"/>
  <cols>
    <col min="1" max="1" width="33.44140625" customWidth="1"/>
    <col min="2" max="3" width="8.109375" style="6" customWidth="1"/>
    <col min="4" max="5" width="8.88671875" hidden="1" customWidth="1"/>
  </cols>
  <sheetData>
    <row r="1" spans="1:5" x14ac:dyDescent="0.3">
      <c r="A1" s="1" t="s">
        <v>0</v>
      </c>
      <c r="B1" s="1" t="s">
        <v>87</v>
      </c>
      <c r="C1" s="1" t="s">
        <v>86</v>
      </c>
      <c r="D1" s="1" t="s">
        <v>4</v>
      </c>
      <c r="E1" s="1" t="s">
        <v>2</v>
      </c>
    </row>
    <row r="2" spans="1:5" x14ac:dyDescent="0.3">
      <c r="A2" s="73" t="s">
        <v>5</v>
      </c>
      <c r="B2" s="73"/>
      <c r="C2" s="73"/>
      <c r="D2" s="73"/>
      <c r="E2" s="73"/>
    </row>
    <row r="3" spans="1:5" x14ac:dyDescent="0.3">
      <c r="A3" s="2" t="s">
        <v>6</v>
      </c>
      <c r="B3" s="3">
        <v>2500</v>
      </c>
      <c r="C3" s="3">
        <v>180</v>
      </c>
      <c r="D3" s="3">
        <v>3650</v>
      </c>
      <c r="E3" s="3">
        <f>D3+(D3*0.05)</f>
        <v>3832.5</v>
      </c>
    </row>
    <row r="4" spans="1:5" x14ac:dyDescent="0.3">
      <c r="A4" s="2" t="s">
        <v>7</v>
      </c>
      <c r="B4" s="3">
        <v>2850</v>
      </c>
      <c r="C4" s="3">
        <v>210</v>
      </c>
      <c r="D4" s="3">
        <v>5590</v>
      </c>
      <c r="E4" s="3">
        <f>D4+(D4*0.05)</f>
        <v>5869.5</v>
      </c>
    </row>
    <row r="5" spans="1:5" x14ac:dyDescent="0.3">
      <c r="A5" s="73" t="s">
        <v>88</v>
      </c>
      <c r="B5" s="73"/>
      <c r="C5" s="73"/>
      <c r="D5" s="73"/>
      <c r="E5" s="73"/>
    </row>
    <row r="6" spans="1:5" x14ac:dyDescent="0.3">
      <c r="A6" s="2" t="s">
        <v>91</v>
      </c>
      <c r="B6" s="3" t="s">
        <v>90</v>
      </c>
      <c r="C6" s="3"/>
      <c r="D6" s="2">
        <v>1850</v>
      </c>
      <c r="E6" s="2">
        <f>D6+(D6*0.1)</f>
        <v>2035</v>
      </c>
    </row>
    <row r="7" spans="1:5" x14ac:dyDescent="0.3">
      <c r="A7" s="2" t="s">
        <v>329</v>
      </c>
      <c r="B7" s="3" t="s">
        <v>90</v>
      </c>
      <c r="C7" s="3" t="s">
        <v>327</v>
      </c>
      <c r="D7" s="2">
        <v>3800</v>
      </c>
      <c r="E7" s="2">
        <f>D7+(D7*0.1)</f>
        <v>4180</v>
      </c>
    </row>
    <row r="8" spans="1:5" x14ac:dyDescent="0.3">
      <c r="A8" s="73" t="s">
        <v>267</v>
      </c>
      <c r="B8" s="73"/>
      <c r="C8" s="73"/>
      <c r="D8" s="73"/>
      <c r="E8" s="73"/>
    </row>
    <row r="9" spans="1:5" x14ac:dyDescent="0.3">
      <c r="A9" s="2" t="s">
        <v>268</v>
      </c>
      <c r="B9" s="3" t="s">
        <v>269</v>
      </c>
      <c r="C9" s="3"/>
      <c r="D9" s="2">
        <v>4650</v>
      </c>
      <c r="E9" s="2">
        <f>D9+(D9*0.1)</f>
        <v>5115</v>
      </c>
    </row>
  </sheetData>
  <mergeCells count="3">
    <mergeCell ref="A2:E2"/>
    <mergeCell ref="A5:E5"/>
    <mergeCell ref="A8:E8"/>
  </mergeCells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D75E5-4B73-4D37-8F7F-0A665A1272CB}">
  <sheetPr>
    <tabColor theme="9" tint="-0.499984740745262"/>
  </sheetPr>
  <dimension ref="A1:C3"/>
  <sheetViews>
    <sheetView workbookViewId="0">
      <selection activeCell="D1" sqref="D1:D1048576"/>
    </sheetView>
  </sheetViews>
  <sheetFormatPr defaultRowHeight="14.4" x14ac:dyDescent="0.3"/>
  <cols>
    <col min="1" max="1" width="30.5546875" customWidth="1"/>
    <col min="2" max="2" width="0" hidden="1" customWidth="1"/>
    <col min="3" max="3" width="8.88671875" hidden="1" customWidth="1"/>
  </cols>
  <sheetData>
    <row r="1" spans="1:3" x14ac:dyDescent="0.3">
      <c r="A1" s="1" t="s">
        <v>0</v>
      </c>
      <c r="B1" s="1" t="s">
        <v>4</v>
      </c>
      <c r="C1" s="1" t="s">
        <v>32</v>
      </c>
    </row>
    <row r="2" spans="1:3" x14ac:dyDescent="0.3">
      <c r="A2" s="76" t="s">
        <v>5</v>
      </c>
      <c r="B2" s="76"/>
      <c r="C2" s="76"/>
    </row>
    <row r="3" spans="1:3" x14ac:dyDescent="0.3">
      <c r="A3" s="2" t="s">
        <v>44</v>
      </c>
      <c r="B3" s="2">
        <v>4025</v>
      </c>
      <c r="C3" s="2">
        <f>B3+(B3*0.1)</f>
        <v>4427.5</v>
      </c>
    </row>
  </sheetData>
  <mergeCells count="1">
    <mergeCell ref="A2:C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3FEB1-3483-4CFC-8881-B58BBE29746D}">
  <sheetPr>
    <tabColor theme="4" tint="-0.249977111117893"/>
  </sheetPr>
  <dimension ref="A1:F4"/>
  <sheetViews>
    <sheetView workbookViewId="0">
      <selection activeCell="G1" sqref="G1:G1048576"/>
    </sheetView>
  </sheetViews>
  <sheetFormatPr defaultRowHeight="14.4" x14ac:dyDescent="0.3"/>
  <cols>
    <col min="1" max="1" width="35.77734375" customWidth="1"/>
    <col min="2" max="2" width="11.5546875" style="10" customWidth="1"/>
    <col min="3" max="3" width="8.88671875" style="6"/>
    <col min="4" max="5" width="0" hidden="1" customWidth="1"/>
  </cols>
  <sheetData>
    <row r="1" spans="1:6" x14ac:dyDescent="0.3">
      <c r="A1" s="5" t="s">
        <v>437</v>
      </c>
      <c r="B1" s="1" t="s">
        <v>10</v>
      </c>
      <c r="C1" s="1" t="s">
        <v>87</v>
      </c>
      <c r="D1" s="5" t="s">
        <v>1</v>
      </c>
      <c r="E1" s="5" t="s">
        <v>32</v>
      </c>
      <c r="F1" s="5"/>
    </row>
    <row r="2" spans="1:6" x14ac:dyDescent="0.3">
      <c r="A2" s="57" t="s">
        <v>364</v>
      </c>
      <c r="B2" s="57"/>
      <c r="C2" s="57"/>
      <c r="D2" s="57"/>
      <c r="E2" s="57"/>
      <c r="F2" s="57"/>
    </row>
    <row r="3" spans="1:6" x14ac:dyDescent="0.3">
      <c r="A3" s="2" t="s">
        <v>364</v>
      </c>
      <c r="B3" s="1" t="s">
        <v>439</v>
      </c>
      <c r="C3" s="3">
        <v>750</v>
      </c>
      <c r="D3" s="2">
        <v>750</v>
      </c>
      <c r="E3" s="2">
        <f>D3+(D3*0.1)</f>
        <v>825</v>
      </c>
      <c r="F3" s="2"/>
    </row>
    <row r="4" spans="1:6" x14ac:dyDescent="0.3">
      <c r="A4" s="2" t="s">
        <v>438</v>
      </c>
      <c r="B4" s="1" t="s">
        <v>440</v>
      </c>
      <c r="C4" s="3">
        <v>750</v>
      </c>
      <c r="D4" s="2">
        <v>850</v>
      </c>
      <c r="E4" s="2">
        <f>D4+(D4*0.1)</f>
        <v>935</v>
      </c>
      <c r="F4" s="2"/>
    </row>
  </sheetData>
  <mergeCells count="1">
    <mergeCell ref="A2:F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E7CBE-76FD-422E-9A27-C78F83E77E2D}">
  <sheetPr>
    <tabColor rgb="FFFF0000"/>
  </sheetPr>
  <dimension ref="A1:F30"/>
  <sheetViews>
    <sheetView workbookViewId="0">
      <selection activeCell="G1" sqref="G1:G1048576"/>
    </sheetView>
  </sheetViews>
  <sheetFormatPr defaultColWidth="8.5546875" defaultRowHeight="14.4" x14ac:dyDescent="0.3"/>
  <cols>
    <col min="1" max="1" width="36.88671875" customWidth="1"/>
    <col min="2" max="3" width="11.33203125" style="6" customWidth="1"/>
    <col min="4" max="4" width="16.109375" style="10" customWidth="1"/>
    <col min="5" max="5" width="8.88671875" style="6" hidden="1" customWidth="1"/>
    <col min="6" max="6" width="8.88671875" hidden="1" customWidth="1"/>
  </cols>
  <sheetData>
    <row r="1" spans="1:6" x14ac:dyDescent="0.3">
      <c r="A1" s="1" t="s">
        <v>0</v>
      </c>
      <c r="B1" s="1" t="s">
        <v>87</v>
      </c>
      <c r="C1" s="1" t="s">
        <v>373</v>
      </c>
      <c r="D1" s="1" t="s">
        <v>10</v>
      </c>
      <c r="E1" s="1" t="s">
        <v>1</v>
      </c>
      <c r="F1" s="1" t="s">
        <v>347</v>
      </c>
    </row>
    <row r="2" spans="1:6" x14ac:dyDescent="0.3">
      <c r="A2" s="65" t="s">
        <v>42</v>
      </c>
      <c r="B2" s="65"/>
      <c r="C2" s="65"/>
      <c r="D2" s="65"/>
      <c r="E2" s="65"/>
      <c r="F2" s="65"/>
    </row>
    <row r="3" spans="1:6" x14ac:dyDescent="0.3">
      <c r="A3" s="9" t="s">
        <v>145</v>
      </c>
      <c r="B3" s="3">
        <v>1100</v>
      </c>
      <c r="C3" s="3"/>
      <c r="D3" s="1" t="s">
        <v>123</v>
      </c>
      <c r="E3" s="3">
        <v>1890</v>
      </c>
      <c r="F3" s="3">
        <f>E3+(E3*0.1)</f>
        <v>2079</v>
      </c>
    </row>
    <row r="4" spans="1:6" x14ac:dyDescent="0.3">
      <c r="A4" s="65" t="s">
        <v>283</v>
      </c>
      <c r="B4" s="65"/>
      <c r="C4" s="65"/>
      <c r="D4" s="65"/>
      <c r="E4" s="65"/>
      <c r="F4" s="65"/>
    </row>
    <row r="5" spans="1:6" x14ac:dyDescent="0.3">
      <c r="A5" s="9" t="s">
        <v>285</v>
      </c>
      <c r="B5" s="3">
        <v>1500</v>
      </c>
      <c r="C5" s="3"/>
      <c r="D5" s="1" t="s">
        <v>284</v>
      </c>
      <c r="E5" s="3">
        <v>2800</v>
      </c>
      <c r="F5" s="3">
        <f>E5+(E5*0.1)</f>
        <v>3080</v>
      </c>
    </row>
    <row r="6" spans="1:6" x14ac:dyDescent="0.3">
      <c r="A6" s="65" t="s">
        <v>88</v>
      </c>
      <c r="B6" s="65"/>
      <c r="C6" s="65"/>
      <c r="D6" s="65"/>
      <c r="E6" s="65"/>
      <c r="F6" s="65"/>
    </row>
    <row r="7" spans="1:6" x14ac:dyDescent="0.3">
      <c r="A7" s="2" t="s">
        <v>110</v>
      </c>
      <c r="B7" s="3" t="s">
        <v>98</v>
      </c>
      <c r="C7" s="3"/>
      <c r="D7" s="1" t="s">
        <v>13</v>
      </c>
      <c r="E7" s="3">
        <v>1850</v>
      </c>
      <c r="F7" s="3">
        <f>E7+(E7*0.1)</f>
        <v>2035</v>
      </c>
    </row>
    <row r="8" spans="1:6" s="50" customFormat="1" ht="45" customHeight="1" x14ac:dyDescent="0.3">
      <c r="A8" s="36" t="s">
        <v>110</v>
      </c>
      <c r="B8" s="15" t="s">
        <v>416</v>
      </c>
      <c r="C8" s="15"/>
      <c r="D8" s="14" t="s">
        <v>286</v>
      </c>
      <c r="E8" s="15">
        <v>2640</v>
      </c>
      <c r="F8" s="15">
        <f>E8+(E8*0.1)</f>
        <v>2904</v>
      </c>
    </row>
    <row r="9" spans="1:6" x14ac:dyDescent="0.3">
      <c r="A9" s="2" t="s">
        <v>110</v>
      </c>
      <c r="B9" s="3" t="s">
        <v>300</v>
      </c>
      <c r="C9" s="3"/>
      <c r="D9" s="1" t="s">
        <v>301</v>
      </c>
      <c r="E9" s="3">
        <v>2510</v>
      </c>
      <c r="F9" s="3">
        <f>E9+(E9*0.1)</f>
        <v>2761</v>
      </c>
    </row>
    <row r="10" spans="1:6" x14ac:dyDescent="0.3">
      <c r="A10" s="65" t="s">
        <v>291</v>
      </c>
      <c r="B10" s="65"/>
      <c r="C10" s="65"/>
      <c r="D10" s="65"/>
      <c r="E10" s="65"/>
      <c r="F10" s="65"/>
    </row>
    <row r="11" spans="1:6" x14ac:dyDescent="0.3">
      <c r="A11" s="2" t="s">
        <v>120</v>
      </c>
      <c r="B11" s="3" t="s">
        <v>287</v>
      </c>
      <c r="C11" s="3"/>
      <c r="D11" s="1" t="s">
        <v>289</v>
      </c>
      <c r="E11" s="3">
        <v>6270</v>
      </c>
      <c r="F11" s="3">
        <f t="shared" ref="F11:F13" si="0">E11+(E11*0.1)</f>
        <v>6897</v>
      </c>
    </row>
    <row r="12" spans="1:6" x14ac:dyDescent="0.3">
      <c r="A12" s="2" t="s">
        <v>120</v>
      </c>
      <c r="B12" s="3" t="s">
        <v>288</v>
      </c>
      <c r="C12" s="3"/>
      <c r="D12" s="1" t="s">
        <v>290</v>
      </c>
      <c r="E12" s="3">
        <v>8670</v>
      </c>
      <c r="F12" s="3">
        <f t="shared" si="0"/>
        <v>9537</v>
      </c>
    </row>
    <row r="13" spans="1:6" x14ac:dyDescent="0.3">
      <c r="A13" s="2" t="s">
        <v>320</v>
      </c>
      <c r="B13" s="3"/>
      <c r="C13" s="3"/>
      <c r="D13" s="1" t="s">
        <v>321</v>
      </c>
      <c r="E13" s="3">
        <v>4820</v>
      </c>
      <c r="F13" s="3">
        <f t="shared" si="0"/>
        <v>5302</v>
      </c>
    </row>
    <row r="14" spans="1:6" x14ac:dyDescent="0.3">
      <c r="A14" s="65" t="s">
        <v>111</v>
      </c>
      <c r="B14" s="65"/>
      <c r="C14" s="65"/>
      <c r="D14" s="65"/>
      <c r="E14" s="65"/>
      <c r="F14" s="65"/>
    </row>
    <row r="15" spans="1:6" s="17" customFormat="1" x14ac:dyDescent="0.3">
      <c r="A15" s="2" t="s">
        <v>165</v>
      </c>
      <c r="B15" s="12">
        <v>1200</v>
      </c>
      <c r="C15" s="12"/>
      <c r="D15" s="1" t="s">
        <v>166</v>
      </c>
      <c r="E15" s="13">
        <v>2190</v>
      </c>
      <c r="F15" s="2">
        <f>E15+(E15*0.1)</f>
        <v>2409</v>
      </c>
    </row>
    <row r="16" spans="1:6" x14ac:dyDescent="0.3">
      <c r="A16" s="2" t="s">
        <v>114</v>
      </c>
      <c r="B16" s="3">
        <v>1600</v>
      </c>
      <c r="C16" s="3"/>
      <c r="D16" s="1" t="s">
        <v>115</v>
      </c>
      <c r="E16" s="3">
        <v>3230</v>
      </c>
      <c r="F16" s="2">
        <f>E16+(E16*0.1)</f>
        <v>3553</v>
      </c>
    </row>
    <row r="17" spans="1:6" x14ac:dyDescent="0.3">
      <c r="A17" s="2" t="s">
        <v>307</v>
      </c>
      <c r="B17" s="3">
        <v>2500</v>
      </c>
      <c r="C17" s="3"/>
      <c r="D17" s="1" t="s">
        <v>308</v>
      </c>
      <c r="E17" s="3">
        <v>3665</v>
      </c>
      <c r="F17" s="2">
        <f>E17+(E17*0.1)</f>
        <v>4031.5</v>
      </c>
    </row>
    <row r="18" spans="1:6" x14ac:dyDescent="0.3">
      <c r="A18" s="65" t="s">
        <v>156</v>
      </c>
      <c r="B18" s="65"/>
      <c r="C18" s="65"/>
      <c r="D18" s="65"/>
      <c r="E18" s="65"/>
      <c r="F18" s="65"/>
    </row>
    <row r="19" spans="1:6" x14ac:dyDescent="0.3">
      <c r="A19" s="29" t="s">
        <v>157</v>
      </c>
      <c r="B19" s="3">
        <v>1100</v>
      </c>
      <c r="C19" s="3"/>
      <c r="D19" s="1" t="s">
        <v>158</v>
      </c>
      <c r="E19" s="3">
        <v>1980</v>
      </c>
      <c r="F19" s="2">
        <f>E19+(E19*0.1)</f>
        <v>2178</v>
      </c>
    </row>
    <row r="20" spans="1:6" x14ac:dyDescent="0.3">
      <c r="A20" s="65" t="s">
        <v>296</v>
      </c>
      <c r="B20" s="65"/>
      <c r="C20" s="65"/>
      <c r="D20" s="65"/>
      <c r="E20" s="65"/>
      <c r="F20" s="65"/>
    </row>
    <row r="21" spans="1:6" x14ac:dyDescent="0.3">
      <c r="A21" s="2" t="s">
        <v>294</v>
      </c>
      <c r="B21" s="3"/>
      <c r="C21" s="3"/>
      <c r="D21" s="1" t="s">
        <v>295</v>
      </c>
      <c r="E21" s="3">
        <v>2215</v>
      </c>
      <c r="F21" s="2">
        <f>E21+(E21*0.1)</f>
        <v>2436.5</v>
      </c>
    </row>
    <row r="22" spans="1:6" x14ac:dyDescent="0.3">
      <c r="A22" s="65" t="s">
        <v>316</v>
      </c>
      <c r="B22" s="65"/>
      <c r="C22" s="65"/>
      <c r="D22" s="65"/>
      <c r="E22" s="65"/>
      <c r="F22" s="65"/>
    </row>
    <row r="23" spans="1:6" x14ac:dyDescent="0.3">
      <c r="A23" s="2" t="s">
        <v>314</v>
      </c>
      <c r="B23" s="3" t="s">
        <v>90</v>
      </c>
      <c r="C23" s="3"/>
      <c r="D23" s="1" t="s">
        <v>315</v>
      </c>
      <c r="E23" s="3">
        <v>4925</v>
      </c>
      <c r="F23" s="2">
        <f>E23+(E23*0.1)</f>
        <v>5417.5</v>
      </c>
    </row>
    <row r="24" spans="1:6" x14ac:dyDescent="0.3">
      <c r="A24" s="65" t="s">
        <v>338</v>
      </c>
      <c r="B24" s="65"/>
      <c r="C24" s="65"/>
      <c r="D24" s="65"/>
      <c r="E24" s="65"/>
      <c r="F24" s="65"/>
    </row>
    <row r="25" spans="1:6" x14ac:dyDescent="0.3">
      <c r="A25" s="2" t="s">
        <v>74</v>
      </c>
      <c r="B25" s="3">
        <v>1900</v>
      </c>
      <c r="C25" s="3"/>
      <c r="D25" s="1" t="s">
        <v>337</v>
      </c>
      <c r="E25" s="3">
        <v>2230</v>
      </c>
      <c r="F25" s="2">
        <f>E25+(E25*0.1)</f>
        <v>2453</v>
      </c>
    </row>
    <row r="26" spans="1:6" x14ac:dyDescent="0.3">
      <c r="A26" s="65" t="s">
        <v>240</v>
      </c>
      <c r="B26" s="65"/>
      <c r="C26" s="65"/>
      <c r="D26" s="65"/>
      <c r="E26" s="65"/>
      <c r="F26" s="65"/>
    </row>
    <row r="27" spans="1:6" x14ac:dyDescent="0.3">
      <c r="A27" s="2" t="s">
        <v>240</v>
      </c>
      <c r="B27" s="3">
        <v>1400</v>
      </c>
      <c r="C27" s="3"/>
      <c r="D27" s="1" t="s">
        <v>441</v>
      </c>
      <c r="E27" s="3">
        <v>2035</v>
      </c>
      <c r="F27" s="2">
        <f>E27+(E27*0.1)</f>
        <v>2238.5</v>
      </c>
    </row>
    <row r="28" spans="1:6" x14ac:dyDescent="0.3">
      <c r="A28" s="65" t="s">
        <v>447</v>
      </c>
      <c r="B28" s="65"/>
      <c r="C28" s="65"/>
      <c r="D28" s="65"/>
      <c r="E28" s="65"/>
      <c r="F28" s="65"/>
    </row>
    <row r="29" spans="1:6" x14ac:dyDescent="0.3">
      <c r="A29" s="2" t="s">
        <v>444</v>
      </c>
      <c r="B29" s="3" t="s">
        <v>98</v>
      </c>
      <c r="C29" s="3"/>
      <c r="D29" s="1" t="s">
        <v>445</v>
      </c>
      <c r="E29" s="3">
        <v>3155</v>
      </c>
      <c r="F29" s="2">
        <f t="shared" ref="F29:F30" si="1">E29+(E29*0.1)</f>
        <v>3470.5</v>
      </c>
    </row>
    <row r="30" spans="1:6" x14ac:dyDescent="0.3">
      <c r="A30" s="2" t="s">
        <v>444</v>
      </c>
      <c r="B30" s="3" t="s">
        <v>90</v>
      </c>
      <c r="C30" s="3"/>
      <c r="D30" s="1" t="s">
        <v>446</v>
      </c>
      <c r="E30" s="3">
        <v>4450</v>
      </c>
      <c r="F30" s="2">
        <f t="shared" si="1"/>
        <v>4895</v>
      </c>
    </row>
  </sheetData>
  <mergeCells count="11">
    <mergeCell ref="A28:F28"/>
    <mergeCell ref="A26:F26"/>
    <mergeCell ref="A2:F2"/>
    <mergeCell ref="A18:F18"/>
    <mergeCell ref="A4:F4"/>
    <mergeCell ref="A10:F10"/>
    <mergeCell ref="A24:F24"/>
    <mergeCell ref="A22:F22"/>
    <mergeCell ref="A20:F20"/>
    <mergeCell ref="A6:F6"/>
    <mergeCell ref="A14:F14"/>
  </mergeCells>
  <phoneticPr fontId="2" type="noConversion"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92B52-9AC5-4C4C-878C-EE23FC863646}">
  <sheetPr>
    <tabColor rgb="FF00B050"/>
  </sheetPr>
  <dimension ref="A1:E6"/>
  <sheetViews>
    <sheetView workbookViewId="0">
      <selection activeCell="F1" sqref="F1:F1048576"/>
    </sheetView>
  </sheetViews>
  <sheetFormatPr defaultRowHeight="14.4" x14ac:dyDescent="0.3"/>
  <cols>
    <col min="1" max="1" width="28" customWidth="1"/>
    <col min="2" max="2" width="12.88671875" style="4" customWidth="1"/>
    <col min="3" max="4" width="8.88671875" hidden="1" customWidth="1"/>
    <col min="5" max="5" width="8.88671875" style="6" customWidth="1"/>
  </cols>
  <sheetData>
    <row r="1" spans="1:5" x14ac:dyDescent="0.3">
      <c r="A1" s="1" t="s">
        <v>0</v>
      </c>
      <c r="B1" s="1" t="s">
        <v>10</v>
      </c>
      <c r="C1" s="1" t="s">
        <v>1</v>
      </c>
      <c r="D1" s="1" t="s">
        <v>2</v>
      </c>
      <c r="E1" s="1" t="s">
        <v>87</v>
      </c>
    </row>
    <row r="2" spans="1:5" x14ac:dyDescent="0.3">
      <c r="A2" s="56" t="s">
        <v>3</v>
      </c>
      <c r="B2" s="56"/>
      <c r="C2" s="56"/>
      <c r="D2" s="56"/>
      <c r="E2" s="56"/>
    </row>
    <row r="3" spans="1:5" x14ac:dyDescent="0.3">
      <c r="A3" s="2" t="s">
        <v>14</v>
      </c>
      <c r="B3" s="5" t="s">
        <v>15</v>
      </c>
      <c r="C3" s="2">
        <v>935</v>
      </c>
      <c r="D3" s="2">
        <f>C3+(C3*0.1)</f>
        <v>1028.5</v>
      </c>
      <c r="E3" s="3"/>
    </row>
    <row r="4" spans="1:5" x14ac:dyDescent="0.3">
      <c r="A4" s="56" t="s">
        <v>111</v>
      </c>
      <c r="B4" s="56"/>
      <c r="C4" s="56"/>
      <c r="D4" s="56"/>
      <c r="E4" s="56"/>
    </row>
    <row r="5" spans="1:5" x14ac:dyDescent="0.3">
      <c r="A5" s="2" t="s">
        <v>61</v>
      </c>
      <c r="B5" s="5" t="s">
        <v>62</v>
      </c>
      <c r="C5" s="2">
        <v>1786.2</v>
      </c>
      <c r="D5" s="2">
        <f>C5+(C5*0.1)</f>
        <v>1964.8200000000002</v>
      </c>
      <c r="E5" s="3">
        <v>1050</v>
      </c>
    </row>
    <row r="6" spans="1:5" x14ac:dyDescent="0.3">
      <c r="A6" s="2" t="s">
        <v>112</v>
      </c>
      <c r="B6" s="5" t="s">
        <v>113</v>
      </c>
      <c r="C6" s="2">
        <v>2395</v>
      </c>
      <c r="D6" s="2">
        <f>C6+(C6*0.1)</f>
        <v>2634.5</v>
      </c>
      <c r="E6" s="3">
        <v>2000</v>
      </c>
    </row>
  </sheetData>
  <mergeCells count="2">
    <mergeCell ref="A2:E2"/>
    <mergeCell ref="A4:E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731FC-93DC-4CEA-B10D-5680B70E27A8}">
  <sheetPr>
    <tabColor rgb="FF002060"/>
  </sheetPr>
  <dimension ref="A1:F3"/>
  <sheetViews>
    <sheetView workbookViewId="0">
      <selection activeCell="G1" sqref="G1:G1048576"/>
    </sheetView>
  </sheetViews>
  <sheetFormatPr defaultRowHeight="14.4" x14ac:dyDescent="0.3"/>
  <cols>
    <col min="1" max="1" width="30.88671875" customWidth="1"/>
    <col min="2" max="4" width="0" hidden="1" customWidth="1"/>
    <col min="5" max="5" width="8.88671875" style="6"/>
    <col min="6" max="6" width="11.88671875" style="10" customWidth="1"/>
  </cols>
  <sheetData>
    <row r="1" spans="1:6" x14ac:dyDescent="0.3">
      <c r="A1" s="1" t="s">
        <v>0</v>
      </c>
      <c r="B1" s="1" t="s">
        <v>1</v>
      </c>
      <c r="C1" s="1" t="s">
        <v>36</v>
      </c>
      <c r="D1" s="1" t="s">
        <v>2</v>
      </c>
      <c r="E1" s="1" t="s">
        <v>87</v>
      </c>
      <c r="F1" s="1" t="s">
        <v>10</v>
      </c>
    </row>
    <row r="2" spans="1:6" x14ac:dyDescent="0.3">
      <c r="A2" s="77" t="s">
        <v>42</v>
      </c>
      <c r="B2" s="77"/>
      <c r="C2" s="77"/>
      <c r="D2" s="77"/>
      <c r="E2" s="77"/>
      <c r="F2" s="77"/>
    </row>
    <row r="3" spans="1:6" x14ac:dyDescent="0.3">
      <c r="A3" s="2" t="s">
        <v>126</v>
      </c>
      <c r="B3" s="2">
        <v>750</v>
      </c>
      <c r="C3" s="2">
        <f>B3+(B3*0.18)</f>
        <v>885</v>
      </c>
      <c r="D3" s="2">
        <f>C3+(C3*0.1)</f>
        <v>973.5</v>
      </c>
      <c r="E3" s="3">
        <v>670</v>
      </c>
      <c r="F3" s="1" t="s">
        <v>127</v>
      </c>
    </row>
  </sheetData>
  <mergeCells count="1">
    <mergeCell ref="A2:F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7BEF2-9F35-431F-8EA8-0BBAF1B0F14C}">
  <sheetPr>
    <tabColor theme="4" tint="-0.499984740745262"/>
  </sheetPr>
  <dimension ref="A1:E5"/>
  <sheetViews>
    <sheetView workbookViewId="0">
      <selection activeCell="F1" sqref="F1:F1048576"/>
    </sheetView>
  </sheetViews>
  <sheetFormatPr defaultRowHeight="14.4" x14ac:dyDescent="0.3"/>
  <cols>
    <col min="1" max="1" width="37.77734375" customWidth="1"/>
    <col min="2" max="5" width="8.88671875" hidden="1" customWidth="1"/>
  </cols>
  <sheetData>
    <row r="1" spans="1:5" x14ac:dyDescent="0.3">
      <c r="A1" s="5" t="s">
        <v>0</v>
      </c>
      <c r="B1" s="5" t="s">
        <v>1</v>
      </c>
      <c r="C1" s="5" t="s">
        <v>146</v>
      </c>
      <c r="D1" s="5" t="s">
        <v>147</v>
      </c>
      <c r="E1" s="5" t="s">
        <v>32</v>
      </c>
    </row>
    <row r="2" spans="1:5" x14ac:dyDescent="0.3">
      <c r="A2" s="78" t="s">
        <v>148</v>
      </c>
      <c r="B2" s="78"/>
      <c r="C2" s="78"/>
      <c r="D2" s="78"/>
      <c r="E2" s="78"/>
    </row>
    <row r="3" spans="1:5" x14ac:dyDescent="0.3">
      <c r="A3" s="2" t="s">
        <v>149</v>
      </c>
      <c r="B3" s="2">
        <v>1050</v>
      </c>
      <c r="C3" s="2">
        <f>B3+(B3*0.18)</f>
        <v>1239</v>
      </c>
      <c r="D3" s="2">
        <f>C3+(C3*0.06)</f>
        <v>1313.34</v>
      </c>
      <c r="E3" s="2">
        <f>D3+(D3*0.1)</f>
        <v>1444.674</v>
      </c>
    </row>
    <row r="4" spans="1:5" x14ac:dyDescent="0.3">
      <c r="A4" s="78" t="s">
        <v>310</v>
      </c>
      <c r="B4" s="78"/>
      <c r="C4" s="78"/>
      <c r="D4" s="78"/>
      <c r="E4" s="78"/>
    </row>
    <row r="5" spans="1:5" x14ac:dyDescent="0.3">
      <c r="A5" s="2" t="s">
        <v>309</v>
      </c>
      <c r="B5" s="2">
        <v>1800</v>
      </c>
      <c r="C5" s="2">
        <f>B5+(B5*0.18)</f>
        <v>2124</v>
      </c>
      <c r="D5" s="2">
        <f>C5+(C5*0.03)</f>
        <v>2187.7199999999998</v>
      </c>
      <c r="E5" s="2">
        <f>D5+(D5*0.2)</f>
        <v>2625.2639999999997</v>
      </c>
    </row>
  </sheetData>
  <mergeCells count="2">
    <mergeCell ref="A2:E2"/>
    <mergeCell ref="A4:E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E335F-43FD-459B-B45D-8A87E8E34FEF}">
  <sheetPr>
    <tabColor theme="7" tint="0.39997558519241921"/>
  </sheetPr>
  <dimension ref="A1:F3"/>
  <sheetViews>
    <sheetView workbookViewId="0">
      <selection activeCell="G1" sqref="G1:G1048576"/>
    </sheetView>
  </sheetViews>
  <sheetFormatPr defaultRowHeight="14.4" x14ac:dyDescent="0.3"/>
  <cols>
    <col min="1" max="1" width="32" customWidth="1"/>
    <col min="2" max="4" width="8.88671875" hidden="1" customWidth="1"/>
    <col min="5" max="5" width="8.88671875" style="6"/>
    <col min="6" max="6" width="12.88671875" style="6" customWidth="1"/>
  </cols>
  <sheetData>
    <row r="1" spans="1:6" x14ac:dyDescent="0.3">
      <c r="A1" s="1" t="s">
        <v>0</v>
      </c>
      <c r="B1" s="1" t="s">
        <v>1</v>
      </c>
      <c r="C1" s="1" t="s">
        <v>36</v>
      </c>
      <c r="D1" s="1" t="s">
        <v>2</v>
      </c>
      <c r="E1" s="1" t="s">
        <v>87</v>
      </c>
      <c r="F1" s="1" t="s">
        <v>10</v>
      </c>
    </row>
    <row r="2" spans="1:6" x14ac:dyDescent="0.3">
      <c r="A2" s="73" t="s">
        <v>42</v>
      </c>
      <c r="B2" s="73"/>
      <c r="C2" s="73"/>
      <c r="D2" s="73"/>
      <c r="E2" s="73"/>
      <c r="F2" s="73"/>
    </row>
    <row r="3" spans="1:6" x14ac:dyDescent="0.3">
      <c r="A3" s="2" t="s">
        <v>124</v>
      </c>
      <c r="B3" s="2">
        <v>900</v>
      </c>
      <c r="C3" s="2">
        <f>B3+(B3*0.18)</f>
        <v>1062</v>
      </c>
      <c r="D3" s="2">
        <f>C3+(C3*0.1)</f>
        <v>1168.2</v>
      </c>
      <c r="E3" s="3">
        <v>1350</v>
      </c>
      <c r="F3" s="1" t="s">
        <v>125</v>
      </c>
    </row>
  </sheetData>
  <mergeCells count="1">
    <mergeCell ref="A2:F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1FD8E-8DD8-4728-AE4B-2DA0474280B5}">
  <sheetPr>
    <tabColor rgb="FFFF0000"/>
  </sheetPr>
  <dimension ref="A1:E3"/>
  <sheetViews>
    <sheetView workbookViewId="0">
      <selection activeCell="F1" sqref="F1:F1048576"/>
    </sheetView>
  </sheetViews>
  <sheetFormatPr defaultRowHeight="14.4" x14ac:dyDescent="0.3"/>
  <cols>
    <col min="1" max="1" width="28.33203125" customWidth="1"/>
    <col min="2" max="3" width="8.88671875" style="6"/>
    <col min="4" max="5" width="0" style="6" hidden="1" customWidth="1"/>
  </cols>
  <sheetData>
    <row r="1" spans="1:5" x14ac:dyDescent="0.3">
      <c r="A1" s="5" t="s">
        <v>0</v>
      </c>
      <c r="B1" s="1" t="s">
        <v>87</v>
      </c>
      <c r="C1" s="1" t="s">
        <v>86</v>
      </c>
      <c r="D1" s="1" t="s">
        <v>1</v>
      </c>
      <c r="E1" s="1" t="s">
        <v>32</v>
      </c>
    </row>
    <row r="2" spans="1:5" x14ac:dyDescent="0.3">
      <c r="A2" s="65" t="s">
        <v>199</v>
      </c>
      <c r="B2" s="65"/>
      <c r="C2" s="65"/>
      <c r="D2" s="65"/>
      <c r="E2" s="65"/>
    </row>
    <row r="3" spans="1:5" x14ac:dyDescent="0.3">
      <c r="A3" s="2" t="s">
        <v>200</v>
      </c>
      <c r="B3" s="3">
        <v>2400</v>
      </c>
      <c r="C3" s="3">
        <v>245</v>
      </c>
      <c r="D3" s="3">
        <v>3600</v>
      </c>
      <c r="E3" s="3">
        <f>D3+(D3*0.1)</f>
        <v>3960</v>
      </c>
    </row>
  </sheetData>
  <mergeCells count="1">
    <mergeCell ref="A2:E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14743-E29A-4D1A-8637-FA5CCE2E7ADE}">
  <sheetPr>
    <tabColor theme="5" tint="0.39997558519241921"/>
  </sheetPr>
  <dimension ref="A1:E12"/>
  <sheetViews>
    <sheetView workbookViewId="0">
      <selection activeCell="F1" sqref="F1:G1048576"/>
    </sheetView>
  </sheetViews>
  <sheetFormatPr defaultRowHeight="14.4" x14ac:dyDescent="0.3"/>
  <cols>
    <col min="1" max="1" width="28.21875" customWidth="1"/>
    <col min="2" max="2" width="11" style="6" customWidth="1"/>
    <col min="3" max="5" width="8.88671875" hidden="1" customWidth="1"/>
  </cols>
  <sheetData>
    <row r="1" spans="1:5" x14ac:dyDescent="0.3">
      <c r="A1" s="5" t="s">
        <v>0</v>
      </c>
      <c r="B1" s="1" t="s">
        <v>191</v>
      </c>
      <c r="C1" s="5" t="s">
        <v>1</v>
      </c>
      <c r="D1" s="5" t="s">
        <v>36</v>
      </c>
      <c r="E1" s="5" t="s">
        <v>32</v>
      </c>
    </row>
    <row r="2" spans="1:5" x14ac:dyDescent="0.3">
      <c r="A2" s="75" t="s">
        <v>180</v>
      </c>
      <c r="B2" s="75"/>
      <c r="C2" s="75"/>
      <c r="D2" s="75"/>
      <c r="E2" s="75"/>
    </row>
    <row r="3" spans="1:5" x14ac:dyDescent="0.3">
      <c r="A3" s="2" t="s">
        <v>181</v>
      </c>
      <c r="B3" s="3" t="s">
        <v>192</v>
      </c>
      <c r="C3" s="2">
        <v>1150</v>
      </c>
      <c r="D3" s="2">
        <f>C3+(C3*0.18)</f>
        <v>1357</v>
      </c>
      <c r="E3" s="2">
        <f>D3+(D3*0.1)</f>
        <v>1492.7</v>
      </c>
    </row>
    <row r="4" spans="1:5" x14ac:dyDescent="0.3">
      <c r="A4" s="2" t="s">
        <v>183</v>
      </c>
      <c r="B4" s="3" t="s">
        <v>193</v>
      </c>
      <c r="C4" s="2">
        <v>1620</v>
      </c>
      <c r="D4" s="2">
        <f t="shared" ref="D4:D6" si="0">C4+(C4*0.18)</f>
        <v>1911.6</v>
      </c>
      <c r="E4" s="2">
        <f t="shared" ref="E4:E6" si="1">D4+(D4*0.1)</f>
        <v>2102.7599999999998</v>
      </c>
    </row>
    <row r="5" spans="1:5" x14ac:dyDescent="0.3">
      <c r="A5" s="2" t="s">
        <v>182</v>
      </c>
      <c r="B5" s="3" t="s">
        <v>194</v>
      </c>
      <c r="C5" s="2">
        <v>1950</v>
      </c>
      <c r="D5" s="2">
        <f t="shared" si="0"/>
        <v>2301</v>
      </c>
      <c r="E5" s="2">
        <f t="shared" si="1"/>
        <v>2531.1</v>
      </c>
    </row>
    <row r="6" spans="1:5" x14ac:dyDescent="0.3">
      <c r="A6" s="2" t="s">
        <v>184</v>
      </c>
      <c r="B6" s="3" t="s">
        <v>195</v>
      </c>
      <c r="C6" s="2">
        <v>2400</v>
      </c>
      <c r="D6" s="2">
        <f t="shared" si="0"/>
        <v>2832</v>
      </c>
      <c r="E6" s="2">
        <f t="shared" si="1"/>
        <v>3115.2</v>
      </c>
    </row>
    <row r="7" spans="1:5" x14ac:dyDescent="0.3">
      <c r="A7" s="75" t="s">
        <v>185</v>
      </c>
      <c r="B7" s="75"/>
      <c r="C7" s="75"/>
      <c r="D7" s="75"/>
      <c r="E7" s="75"/>
    </row>
    <row r="8" spans="1:5" x14ac:dyDescent="0.3">
      <c r="A8" s="2" t="s">
        <v>186</v>
      </c>
      <c r="B8" s="3" t="s">
        <v>208</v>
      </c>
      <c r="C8" s="2">
        <v>1620</v>
      </c>
      <c r="D8" s="2">
        <f>C8+(C8*0.18)</f>
        <v>1911.6</v>
      </c>
      <c r="E8" s="2">
        <f>D8+(D8*0.1)</f>
        <v>2102.7599999999998</v>
      </c>
    </row>
    <row r="9" spans="1:5" x14ac:dyDescent="0.3">
      <c r="A9" s="2" t="s">
        <v>187</v>
      </c>
      <c r="B9" s="3"/>
      <c r="C9" s="2">
        <v>2800</v>
      </c>
      <c r="D9" s="2">
        <f t="shared" ref="D9:D12" si="2">C9+(C9*0.18)</f>
        <v>3304</v>
      </c>
      <c r="E9" s="2">
        <f t="shared" ref="E9:E12" si="3">D9+(D9*0.1)</f>
        <v>3634.4</v>
      </c>
    </row>
    <row r="10" spans="1:5" x14ac:dyDescent="0.3">
      <c r="A10" s="2" t="s">
        <v>188</v>
      </c>
      <c r="B10" s="3"/>
      <c r="C10" s="2">
        <v>3560</v>
      </c>
      <c r="D10" s="2">
        <f t="shared" si="2"/>
        <v>4200.8</v>
      </c>
      <c r="E10" s="2">
        <f t="shared" si="3"/>
        <v>4620.88</v>
      </c>
    </row>
    <row r="11" spans="1:5" x14ac:dyDescent="0.3">
      <c r="A11" s="2" t="s">
        <v>189</v>
      </c>
      <c r="B11" s="3"/>
      <c r="C11" s="2">
        <v>3900</v>
      </c>
      <c r="D11" s="2">
        <f t="shared" si="2"/>
        <v>4602</v>
      </c>
      <c r="E11" s="2">
        <f t="shared" si="3"/>
        <v>5062.2</v>
      </c>
    </row>
    <row r="12" spans="1:5" x14ac:dyDescent="0.3">
      <c r="A12" s="2" t="s">
        <v>190</v>
      </c>
      <c r="B12" s="3"/>
      <c r="C12" s="2">
        <v>4200</v>
      </c>
      <c r="D12" s="2">
        <f t="shared" si="2"/>
        <v>4956</v>
      </c>
      <c r="E12" s="2">
        <f t="shared" si="3"/>
        <v>5451.6</v>
      </c>
    </row>
  </sheetData>
  <mergeCells count="2">
    <mergeCell ref="A2:E2"/>
    <mergeCell ref="A7:E7"/>
  </mergeCells>
  <phoneticPr fontId="2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7F66E-2CC4-4D67-BB69-BA6112C74A29}">
  <sheetPr>
    <tabColor rgb="FFFF0000"/>
  </sheetPr>
  <dimension ref="A1:H7"/>
  <sheetViews>
    <sheetView workbookViewId="0">
      <selection activeCell="I1" sqref="I1:J1048576"/>
    </sheetView>
  </sheetViews>
  <sheetFormatPr defaultRowHeight="14.4" x14ac:dyDescent="0.3"/>
  <cols>
    <col min="1" max="1" width="32.33203125" style="4" customWidth="1"/>
    <col min="2" max="2" width="15.5546875" style="4" customWidth="1"/>
    <col min="3" max="3" width="11.109375" style="10" customWidth="1"/>
    <col min="4" max="4" width="8.88671875" style="6"/>
    <col min="5" max="8" width="8.88671875" hidden="1" customWidth="1"/>
  </cols>
  <sheetData>
    <row r="1" spans="1:8" x14ac:dyDescent="0.3">
      <c r="A1" s="5" t="s">
        <v>0</v>
      </c>
      <c r="B1" s="1" t="s">
        <v>373</v>
      </c>
      <c r="C1" s="1" t="s">
        <v>87</v>
      </c>
      <c r="D1" s="3" t="s">
        <v>365</v>
      </c>
      <c r="E1" s="2" t="s">
        <v>1</v>
      </c>
      <c r="F1" s="2" t="s">
        <v>36</v>
      </c>
      <c r="G1" s="2" t="s">
        <v>147</v>
      </c>
      <c r="H1" s="2" t="s">
        <v>32</v>
      </c>
    </row>
    <row r="2" spans="1:8" x14ac:dyDescent="0.3">
      <c r="A2" s="65" t="s">
        <v>374</v>
      </c>
      <c r="B2" s="65"/>
      <c r="C2" s="65"/>
      <c r="D2" s="65"/>
      <c r="E2" s="65"/>
      <c r="F2" s="65"/>
      <c r="G2" s="65"/>
      <c r="H2" s="65"/>
    </row>
    <row r="3" spans="1:8" ht="34.950000000000003" customHeight="1" x14ac:dyDescent="0.3">
      <c r="A3" s="35" t="s">
        <v>366</v>
      </c>
      <c r="B3" s="35"/>
      <c r="C3" s="15">
        <v>25</v>
      </c>
      <c r="D3" s="15">
        <v>50</v>
      </c>
      <c r="E3" s="36">
        <v>230</v>
      </c>
      <c r="F3" s="36">
        <f>E3+(E3*0.18)</f>
        <v>271.39999999999998</v>
      </c>
      <c r="G3" s="36">
        <f>F3+(F3*0.014)</f>
        <v>275.19959999999998</v>
      </c>
      <c r="H3" s="36">
        <f>G3+(G3*0.1)</f>
        <v>302.71956</v>
      </c>
    </row>
    <row r="4" spans="1:8" ht="34.950000000000003" customHeight="1" x14ac:dyDescent="0.3">
      <c r="A4" s="35" t="s">
        <v>367</v>
      </c>
      <c r="B4" s="35"/>
      <c r="C4" s="15">
        <v>35</v>
      </c>
      <c r="D4" s="15">
        <v>25</v>
      </c>
      <c r="E4" s="36">
        <v>315</v>
      </c>
      <c r="F4" s="36">
        <f t="shared" ref="F4:F7" si="0">E4+(E4*0.18)</f>
        <v>371.7</v>
      </c>
      <c r="G4" s="36">
        <f t="shared" ref="G4:G7" si="1">F4+(F4*0.014)</f>
        <v>376.90379999999999</v>
      </c>
      <c r="H4" s="36">
        <f t="shared" ref="H4:H7" si="2">G4+(G4*0.1)</f>
        <v>414.59417999999999</v>
      </c>
    </row>
    <row r="5" spans="1:8" ht="34.950000000000003" customHeight="1" x14ac:dyDescent="0.3">
      <c r="A5" s="35" t="s">
        <v>368</v>
      </c>
      <c r="B5" s="35"/>
      <c r="C5" s="15">
        <v>50</v>
      </c>
      <c r="D5" s="15">
        <v>25</v>
      </c>
      <c r="E5" s="36">
        <v>325</v>
      </c>
      <c r="F5" s="36">
        <f t="shared" si="0"/>
        <v>383.5</v>
      </c>
      <c r="G5" s="36">
        <f t="shared" si="1"/>
        <v>388.86900000000003</v>
      </c>
      <c r="H5" s="36">
        <f t="shared" si="2"/>
        <v>427.75590000000005</v>
      </c>
    </row>
    <row r="6" spans="1:8" ht="34.950000000000003" customHeight="1" x14ac:dyDescent="0.3">
      <c r="A6" s="35" t="s">
        <v>370</v>
      </c>
      <c r="B6" s="35"/>
      <c r="C6" s="15" t="s">
        <v>372</v>
      </c>
      <c r="D6" s="15">
        <v>15</v>
      </c>
      <c r="E6" s="36">
        <v>280</v>
      </c>
      <c r="F6" s="36">
        <f t="shared" si="0"/>
        <v>330.4</v>
      </c>
      <c r="G6" s="36">
        <f t="shared" si="1"/>
        <v>335.0256</v>
      </c>
      <c r="H6" s="36">
        <f t="shared" si="2"/>
        <v>368.52816000000001</v>
      </c>
    </row>
    <row r="7" spans="1:8" ht="49.95" customHeight="1" x14ac:dyDescent="0.3">
      <c r="A7" s="35" t="s">
        <v>371</v>
      </c>
      <c r="B7" s="35"/>
      <c r="C7" s="15" t="s">
        <v>369</v>
      </c>
      <c r="D7" s="15">
        <v>1</v>
      </c>
      <c r="E7" s="36">
        <v>1000</v>
      </c>
      <c r="F7" s="36">
        <f t="shared" si="0"/>
        <v>1180</v>
      </c>
      <c r="G7" s="36">
        <f t="shared" si="1"/>
        <v>1196.52</v>
      </c>
      <c r="H7" s="36">
        <f t="shared" si="2"/>
        <v>1316.172</v>
      </c>
    </row>
  </sheetData>
  <mergeCells count="1">
    <mergeCell ref="A2:H2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21F5E-BE55-4E3E-8BDF-80BABECD4B8D}">
  <sheetPr>
    <tabColor rgb="FFFFFF00"/>
  </sheetPr>
  <dimension ref="A1:E12"/>
  <sheetViews>
    <sheetView workbookViewId="0">
      <selection activeCell="F1" sqref="F1:F1048576"/>
    </sheetView>
  </sheetViews>
  <sheetFormatPr defaultRowHeight="14.4" x14ac:dyDescent="0.3"/>
  <cols>
    <col min="1" max="1" width="29.5546875" customWidth="1"/>
    <col min="2" max="2" width="14.5546875" style="10" customWidth="1"/>
    <col min="3" max="3" width="8.88671875" style="6"/>
    <col min="4" max="5" width="8.88671875" hidden="1" customWidth="1"/>
  </cols>
  <sheetData>
    <row r="1" spans="1:5" x14ac:dyDescent="0.3">
      <c r="A1" s="5" t="s">
        <v>0</v>
      </c>
      <c r="B1" s="1" t="s">
        <v>10</v>
      </c>
      <c r="C1" s="1" t="s">
        <v>87</v>
      </c>
      <c r="D1" s="1" t="s">
        <v>1</v>
      </c>
      <c r="E1" s="1" t="s">
        <v>16</v>
      </c>
    </row>
    <row r="2" spans="1:5" x14ac:dyDescent="0.3">
      <c r="A2" s="79" t="s">
        <v>78</v>
      </c>
      <c r="B2" s="79"/>
      <c r="C2" s="79"/>
      <c r="D2" s="79"/>
      <c r="E2" s="79"/>
    </row>
    <row r="3" spans="1:5" x14ac:dyDescent="0.3">
      <c r="A3" s="2" t="s">
        <v>209</v>
      </c>
      <c r="B3" s="1" t="s">
        <v>210</v>
      </c>
      <c r="C3" s="3">
        <v>600</v>
      </c>
      <c r="D3" s="3">
        <v>2312</v>
      </c>
      <c r="E3" s="3">
        <f>D3+(D3*0.05)</f>
        <v>2427.6</v>
      </c>
    </row>
    <row r="4" spans="1:5" x14ac:dyDescent="0.3">
      <c r="A4" s="2"/>
      <c r="B4" s="1" t="s">
        <v>385</v>
      </c>
      <c r="C4" s="3">
        <v>550</v>
      </c>
      <c r="D4" s="3">
        <v>1947</v>
      </c>
      <c r="E4" s="3">
        <f>D4+(D4*0.05)</f>
        <v>2044.35</v>
      </c>
    </row>
    <row r="5" spans="1:5" x14ac:dyDescent="0.3">
      <c r="A5" s="79" t="s">
        <v>389</v>
      </c>
      <c r="B5" s="79"/>
      <c r="C5" s="79"/>
      <c r="D5" s="79"/>
      <c r="E5" s="79"/>
    </row>
    <row r="6" spans="1:5" x14ac:dyDescent="0.3">
      <c r="A6" s="2"/>
      <c r="B6" s="1" t="s">
        <v>386</v>
      </c>
      <c r="C6" s="3">
        <v>1320</v>
      </c>
      <c r="D6" s="3">
        <v>3010</v>
      </c>
      <c r="E6" s="3">
        <f t="shared" ref="E6:E10" si="0">D6+(D6*0.05)</f>
        <v>3160.5</v>
      </c>
    </row>
    <row r="7" spans="1:5" x14ac:dyDescent="0.3">
      <c r="A7" s="79" t="s">
        <v>390</v>
      </c>
      <c r="B7" s="79"/>
      <c r="C7" s="79"/>
      <c r="D7" s="79"/>
      <c r="E7" s="79"/>
    </row>
    <row r="8" spans="1:5" x14ac:dyDescent="0.3">
      <c r="A8" s="2"/>
      <c r="B8" s="1" t="s">
        <v>387</v>
      </c>
      <c r="C8" s="3">
        <v>1600</v>
      </c>
      <c r="D8" s="3">
        <v>15000</v>
      </c>
      <c r="E8" s="3">
        <f t="shared" si="0"/>
        <v>15750</v>
      </c>
    </row>
    <row r="9" spans="1:5" x14ac:dyDescent="0.3">
      <c r="A9" s="79" t="s">
        <v>391</v>
      </c>
      <c r="B9" s="79"/>
      <c r="C9" s="79"/>
      <c r="D9" s="79"/>
      <c r="E9" s="79"/>
    </row>
    <row r="10" spans="1:5" x14ac:dyDescent="0.3">
      <c r="A10" s="2"/>
      <c r="B10" s="1" t="s">
        <v>388</v>
      </c>
      <c r="C10" s="3">
        <v>2200</v>
      </c>
      <c r="D10" s="3">
        <v>9301</v>
      </c>
      <c r="E10" s="3">
        <f t="shared" si="0"/>
        <v>9766.0499999999993</v>
      </c>
    </row>
    <row r="11" spans="1:5" x14ac:dyDescent="0.3">
      <c r="A11" s="79" t="s">
        <v>275</v>
      </c>
      <c r="B11" s="79"/>
      <c r="C11" s="79"/>
      <c r="D11" s="79"/>
      <c r="E11" s="79"/>
    </row>
    <row r="12" spans="1:5" x14ac:dyDescent="0.3">
      <c r="A12" s="2" t="s">
        <v>276</v>
      </c>
      <c r="B12" s="1" t="s">
        <v>277</v>
      </c>
      <c r="C12" s="3">
        <v>25</v>
      </c>
      <c r="D12" s="2">
        <v>565.22</v>
      </c>
      <c r="E12" s="3">
        <f>D12+(D12*0.05)</f>
        <v>593.48099999999999</v>
      </c>
    </row>
  </sheetData>
  <mergeCells count="5">
    <mergeCell ref="A2:E2"/>
    <mergeCell ref="A11:E11"/>
    <mergeCell ref="A5:E5"/>
    <mergeCell ref="A7:E7"/>
    <mergeCell ref="A9:E9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131CF-9DA7-4BB5-9522-FC8E24B41625}">
  <sheetPr>
    <tabColor theme="5"/>
  </sheetPr>
  <dimension ref="A1:C5"/>
  <sheetViews>
    <sheetView workbookViewId="0">
      <selection activeCell="D1" sqref="D1:D1048576"/>
    </sheetView>
  </sheetViews>
  <sheetFormatPr defaultRowHeight="14.4" x14ac:dyDescent="0.3"/>
  <cols>
    <col min="1" max="1" width="30.6640625" customWidth="1"/>
    <col min="2" max="3" width="8.88671875" hidden="1" customWidth="1"/>
  </cols>
  <sheetData>
    <row r="1" spans="1:3" x14ac:dyDescent="0.3">
      <c r="A1" s="5" t="s">
        <v>0</v>
      </c>
      <c r="B1" s="5" t="s">
        <v>1</v>
      </c>
      <c r="C1" s="5" t="s">
        <v>16</v>
      </c>
    </row>
    <row r="2" spans="1:3" x14ac:dyDescent="0.3">
      <c r="A2" s="80" t="s">
        <v>47</v>
      </c>
      <c r="B2" s="80"/>
      <c r="C2" s="80"/>
    </row>
    <row r="3" spans="1:3" x14ac:dyDescent="0.3">
      <c r="A3" s="2" t="s">
        <v>48</v>
      </c>
      <c r="B3" s="2">
        <v>3290</v>
      </c>
      <c r="C3" s="2">
        <f>B3+(B3*0.1)</f>
        <v>3619</v>
      </c>
    </row>
    <row r="4" spans="1:3" x14ac:dyDescent="0.3">
      <c r="A4" s="80" t="s">
        <v>76</v>
      </c>
      <c r="B4" s="80"/>
      <c r="C4" s="80"/>
    </row>
    <row r="5" spans="1:3" x14ac:dyDescent="0.3">
      <c r="A5" s="2" t="s">
        <v>77</v>
      </c>
      <c r="B5" s="2">
        <v>820</v>
      </c>
      <c r="C5" s="2">
        <f>B5+(B5*0.1)</f>
        <v>902</v>
      </c>
    </row>
  </sheetData>
  <mergeCells count="2">
    <mergeCell ref="A2:C2"/>
    <mergeCell ref="A4:C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74443-50E6-40E1-9908-9A3E7ECAE916}">
  <sheetPr>
    <tabColor theme="4" tint="-0.499984740745262"/>
  </sheetPr>
  <dimension ref="A1:C3"/>
  <sheetViews>
    <sheetView workbookViewId="0">
      <selection activeCell="D1" sqref="D1:D1048576"/>
    </sheetView>
  </sheetViews>
  <sheetFormatPr defaultRowHeight="14.4" x14ac:dyDescent="0.3"/>
  <cols>
    <col min="1" max="1" width="22.21875" customWidth="1"/>
    <col min="2" max="3" width="0" hidden="1" customWidth="1"/>
  </cols>
  <sheetData>
    <row r="1" spans="1:3" x14ac:dyDescent="0.3">
      <c r="A1" s="5" t="s">
        <v>0</v>
      </c>
      <c r="B1" s="5" t="s">
        <v>1</v>
      </c>
      <c r="C1" s="5" t="s">
        <v>32</v>
      </c>
    </row>
    <row r="2" spans="1:3" x14ac:dyDescent="0.3">
      <c r="A2" s="81" t="s">
        <v>59</v>
      </c>
      <c r="B2" s="81"/>
      <c r="C2" s="81"/>
    </row>
    <row r="3" spans="1:3" x14ac:dyDescent="0.3">
      <c r="A3" s="2" t="s">
        <v>60</v>
      </c>
      <c r="B3" s="2">
        <v>3100</v>
      </c>
      <c r="C3" s="2">
        <f>B3+(B3*0.1)</f>
        <v>3410</v>
      </c>
    </row>
  </sheetData>
  <mergeCells count="1">
    <mergeCell ref="A2:C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A2DF4-E5C2-4715-919A-2F1E1B7570CC}">
  <sheetPr>
    <tabColor theme="7" tint="0.39997558519241921"/>
  </sheetPr>
  <dimension ref="A1:E15"/>
  <sheetViews>
    <sheetView workbookViewId="0">
      <selection activeCell="F1" sqref="F1:F1048576"/>
    </sheetView>
  </sheetViews>
  <sheetFormatPr defaultRowHeight="14.4" x14ac:dyDescent="0.3"/>
  <cols>
    <col min="1" max="1" width="27.5546875" style="4" customWidth="1"/>
    <col min="2" max="2" width="12.21875" style="6" customWidth="1"/>
    <col min="3" max="5" width="8.88671875" style="6" hidden="1" customWidth="1"/>
  </cols>
  <sheetData>
    <row r="1" spans="1:5" x14ac:dyDescent="0.3">
      <c r="A1" s="5" t="s">
        <v>0</v>
      </c>
      <c r="B1" s="1" t="s">
        <v>143</v>
      </c>
      <c r="C1" s="1" t="s">
        <v>1</v>
      </c>
      <c r="D1" s="1" t="s">
        <v>36</v>
      </c>
      <c r="E1" s="1" t="s">
        <v>32</v>
      </c>
    </row>
    <row r="2" spans="1:5" x14ac:dyDescent="0.3">
      <c r="A2" s="60" t="s">
        <v>211</v>
      </c>
      <c r="B2" s="60"/>
      <c r="C2" s="60"/>
      <c r="D2" s="60"/>
      <c r="E2" s="60"/>
    </row>
    <row r="3" spans="1:5" x14ac:dyDescent="0.3">
      <c r="A3" s="82" t="s">
        <v>212</v>
      </c>
      <c r="B3" s="83"/>
      <c r="C3" s="83"/>
      <c r="D3" s="83"/>
      <c r="E3" s="83"/>
    </row>
    <row r="4" spans="1:5" x14ac:dyDescent="0.3">
      <c r="A4" s="22" t="s">
        <v>213</v>
      </c>
      <c r="B4" s="12" t="s">
        <v>152</v>
      </c>
      <c r="C4" s="12">
        <v>3500</v>
      </c>
      <c r="D4" s="3">
        <f>C4+(C4*0.18)</f>
        <v>4130</v>
      </c>
      <c r="E4" s="3">
        <f>D4+(D4*0.05)</f>
        <v>4336.5</v>
      </c>
    </row>
    <row r="5" spans="1:5" x14ac:dyDescent="0.3">
      <c r="A5" s="5" t="s">
        <v>214</v>
      </c>
      <c r="B5" s="3" t="s">
        <v>152</v>
      </c>
      <c r="C5" s="3">
        <v>4300</v>
      </c>
      <c r="D5" s="3">
        <f>C5+(C5*0.18)</f>
        <v>5074</v>
      </c>
      <c r="E5" s="3">
        <f>D5+(D5*0.05)</f>
        <v>5327.7</v>
      </c>
    </row>
    <row r="6" spans="1:5" x14ac:dyDescent="0.3">
      <c r="A6" s="4" t="s">
        <v>215</v>
      </c>
      <c r="B6" s="3" t="s">
        <v>152</v>
      </c>
      <c r="C6" s="6">
        <v>3900</v>
      </c>
      <c r="D6" s="3">
        <f t="shared" ref="D6:D15" si="0">C6+(C6*0.18)</f>
        <v>4602</v>
      </c>
      <c r="E6" s="3">
        <f t="shared" ref="E6:E15" si="1">D6+(D6*0.05)</f>
        <v>4832.1000000000004</v>
      </c>
    </row>
    <row r="7" spans="1:5" x14ac:dyDescent="0.3">
      <c r="A7" s="82" t="s">
        <v>216</v>
      </c>
      <c r="B7" s="83"/>
      <c r="C7" s="83"/>
      <c r="D7" s="83"/>
      <c r="E7" s="83"/>
    </row>
    <row r="8" spans="1:5" x14ac:dyDescent="0.3">
      <c r="A8" s="5" t="s">
        <v>151</v>
      </c>
      <c r="B8" s="3" t="s">
        <v>152</v>
      </c>
      <c r="C8" s="3">
        <v>5300</v>
      </c>
      <c r="D8" s="3">
        <f t="shared" si="0"/>
        <v>6254</v>
      </c>
      <c r="E8" s="3">
        <f t="shared" si="1"/>
        <v>6566.7</v>
      </c>
    </row>
    <row r="9" spans="1:5" x14ac:dyDescent="0.3">
      <c r="A9" s="5" t="s">
        <v>217</v>
      </c>
      <c r="B9" s="3" t="s">
        <v>152</v>
      </c>
      <c r="C9" s="3">
        <v>7700</v>
      </c>
      <c r="D9" s="3">
        <f t="shared" si="0"/>
        <v>9086</v>
      </c>
      <c r="E9" s="3">
        <f t="shared" si="1"/>
        <v>9540.2999999999993</v>
      </c>
    </row>
    <row r="10" spans="1:5" x14ac:dyDescent="0.3">
      <c r="A10" s="5" t="s">
        <v>218</v>
      </c>
      <c r="B10" s="3" t="s">
        <v>152</v>
      </c>
      <c r="C10" s="3">
        <v>11500</v>
      </c>
      <c r="D10" s="3">
        <f t="shared" si="0"/>
        <v>13570</v>
      </c>
      <c r="E10" s="3">
        <f t="shared" si="1"/>
        <v>14248.5</v>
      </c>
    </row>
    <row r="11" spans="1:5" x14ac:dyDescent="0.3">
      <c r="A11" s="5" t="s">
        <v>219</v>
      </c>
      <c r="B11" s="3" t="s">
        <v>152</v>
      </c>
      <c r="C11" s="3">
        <v>12500</v>
      </c>
      <c r="D11" s="3">
        <f t="shared" si="0"/>
        <v>14750</v>
      </c>
      <c r="E11" s="3">
        <f t="shared" si="1"/>
        <v>15487.5</v>
      </c>
    </row>
    <row r="12" spans="1:5" x14ac:dyDescent="0.3">
      <c r="A12" s="5" t="s">
        <v>220</v>
      </c>
      <c r="B12" s="3" t="s">
        <v>144</v>
      </c>
      <c r="C12" s="3">
        <v>19500</v>
      </c>
      <c r="D12" s="3">
        <f t="shared" si="0"/>
        <v>23010</v>
      </c>
      <c r="E12" s="3">
        <f t="shared" si="1"/>
        <v>24160.5</v>
      </c>
    </row>
    <row r="13" spans="1:5" x14ac:dyDescent="0.3">
      <c r="A13" s="82" t="s">
        <v>223</v>
      </c>
      <c r="B13" s="83"/>
      <c r="C13" s="83"/>
      <c r="D13" s="83"/>
      <c r="E13" s="83"/>
    </row>
    <row r="14" spans="1:5" x14ac:dyDescent="0.3">
      <c r="A14" s="5" t="s">
        <v>221</v>
      </c>
      <c r="B14" s="3" t="s">
        <v>152</v>
      </c>
      <c r="C14" s="3">
        <v>9700</v>
      </c>
      <c r="D14" s="3">
        <f t="shared" si="0"/>
        <v>11446</v>
      </c>
      <c r="E14" s="3">
        <f t="shared" si="1"/>
        <v>12018.3</v>
      </c>
    </row>
    <row r="15" spans="1:5" x14ac:dyDescent="0.3">
      <c r="A15" s="5" t="s">
        <v>222</v>
      </c>
      <c r="B15" s="3" t="s">
        <v>152</v>
      </c>
      <c r="C15" s="3">
        <v>18000</v>
      </c>
      <c r="D15" s="3">
        <f t="shared" si="0"/>
        <v>21240</v>
      </c>
      <c r="E15" s="3">
        <f t="shared" si="1"/>
        <v>22302</v>
      </c>
    </row>
  </sheetData>
  <mergeCells count="4">
    <mergeCell ref="A2:E2"/>
    <mergeCell ref="A3:E3"/>
    <mergeCell ref="A7:E7"/>
    <mergeCell ref="A13:E13"/>
  </mergeCells>
  <phoneticPr fontId="2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8CD5C-F522-4296-95E9-0636CEA1AA30}">
  <sheetPr>
    <tabColor rgb="FFFF0000"/>
  </sheetPr>
  <dimension ref="A1:F41"/>
  <sheetViews>
    <sheetView workbookViewId="0">
      <selection activeCell="G1" sqref="G1:G1048576"/>
    </sheetView>
  </sheetViews>
  <sheetFormatPr defaultRowHeight="14.4" x14ac:dyDescent="0.3"/>
  <cols>
    <col min="1" max="1" width="38.88671875" customWidth="1"/>
    <col min="2" max="2" width="9.109375" style="10" customWidth="1"/>
    <col min="3" max="3" width="6.88671875" style="10" customWidth="1"/>
    <col min="4" max="4" width="8.44140625" style="16" customWidth="1"/>
    <col min="5" max="5" width="8.88671875" style="6" hidden="1" customWidth="1"/>
    <col min="6" max="6" width="8.88671875" hidden="1" customWidth="1"/>
  </cols>
  <sheetData>
    <row r="1" spans="1:6" x14ac:dyDescent="0.3">
      <c r="A1" s="1" t="s">
        <v>0</v>
      </c>
      <c r="B1" s="1" t="s">
        <v>345</v>
      </c>
      <c r="C1" s="1" t="s">
        <v>87</v>
      </c>
      <c r="D1" s="14" t="s">
        <v>86</v>
      </c>
      <c r="E1" s="1" t="s">
        <v>4</v>
      </c>
      <c r="F1" s="1" t="s">
        <v>2</v>
      </c>
    </row>
    <row r="2" spans="1:6" x14ac:dyDescent="0.3">
      <c r="A2" s="65" t="s">
        <v>5</v>
      </c>
      <c r="B2" s="65"/>
      <c r="C2" s="65"/>
      <c r="D2" s="65"/>
      <c r="E2" s="65"/>
      <c r="F2" s="65"/>
    </row>
    <row r="3" spans="1:6" x14ac:dyDescent="0.3">
      <c r="A3" s="2" t="s">
        <v>46</v>
      </c>
      <c r="B3" s="1"/>
      <c r="C3" s="1"/>
      <c r="D3" s="15"/>
      <c r="E3" s="12">
        <v>3450</v>
      </c>
      <c r="F3" s="2">
        <f t="shared" ref="F3:F12" si="0">E3+(E3*0.05)</f>
        <v>3622.5</v>
      </c>
    </row>
    <row r="4" spans="1:6" x14ac:dyDescent="0.3">
      <c r="A4" s="2" t="s">
        <v>299</v>
      </c>
      <c r="B4" s="1"/>
      <c r="C4" s="1">
        <v>1800</v>
      </c>
      <c r="D4" s="15">
        <v>130</v>
      </c>
      <c r="E4" s="12">
        <v>3100</v>
      </c>
      <c r="F4" s="2">
        <f t="shared" si="0"/>
        <v>3255</v>
      </c>
    </row>
    <row r="5" spans="1:6" x14ac:dyDescent="0.3">
      <c r="A5" s="2" t="s">
        <v>130</v>
      </c>
      <c r="B5" s="1"/>
      <c r="C5" s="1">
        <v>1800</v>
      </c>
      <c r="D5" s="15">
        <v>130</v>
      </c>
      <c r="E5" s="12">
        <v>3430</v>
      </c>
      <c r="F5" s="2">
        <f t="shared" si="0"/>
        <v>3601.5</v>
      </c>
    </row>
    <row r="6" spans="1:6" x14ac:dyDescent="0.3">
      <c r="A6" s="2" t="s">
        <v>9</v>
      </c>
      <c r="B6" s="1"/>
      <c r="C6" s="1">
        <v>1700</v>
      </c>
      <c r="D6" s="15">
        <v>140</v>
      </c>
      <c r="E6" s="3">
        <v>4230</v>
      </c>
      <c r="F6" s="2">
        <f t="shared" si="0"/>
        <v>4441.5</v>
      </c>
    </row>
    <row r="7" spans="1:6" x14ac:dyDescent="0.3">
      <c r="A7" s="2" t="s">
        <v>45</v>
      </c>
      <c r="B7" s="1"/>
      <c r="C7" s="1">
        <v>1750</v>
      </c>
      <c r="D7" s="15">
        <v>145</v>
      </c>
      <c r="E7" s="3">
        <v>4490</v>
      </c>
      <c r="F7" s="2">
        <f t="shared" si="0"/>
        <v>4714.5</v>
      </c>
    </row>
    <row r="8" spans="1:6" x14ac:dyDescent="0.3">
      <c r="A8" s="2" t="s">
        <v>34</v>
      </c>
      <c r="B8" s="1"/>
      <c r="C8" s="1">
        <v>2200</v>
      </c>
      <c r="D8" s="15">
        <v>150</v>
      </c>
      <c r="E8" s="3">
        <v>5250</v>
      </c>
      <c r="F8" s="2">
        <f t="shared" si="0"/>
        <v>5512.5</v>
      </c>
    </row>
    <row r="9" spans="1:6" x14ac:dyDescent="0.3">
      <c r="A9" s="2" t="s">
        <v>8</v>
      </c>
      <c r="B9" s="1"/>
      <c r="C9" s="1">
        <v>2000</v>
      </c>
      <c r="D9" s="15">
        <v>150</v>
      </c>
      <c r="E9" s="3">
        <v>4650</v>
      </c>
      <c r="F9" s="2">
        <f t="shared" si="0"/>
        <v>4882.5</v>
      </c>
    </row>
    <row r="10" spans="1:6" x14ac:dyDescent="0.3">
      <c r="A10" s="2" t="s">
        <v>317</v>
      </c>
      <c r="B10" s="1"/>
      <c r="C10" s="1">
        <v>2000</v>
      </c>
      <c r="D10" s="15">
        <v>140</v>
      </c>
      <c r="E10" s="3">
        <v>5950</v>
      </c>
      <c r="F10" s="2">
        <f t="shared" si="0"/>
        <v>6247.5</v>
      </c>
    </row>
    <row r="11" spans="1:6" x14ac:dyDescent="0.3">
      <c r="A11" s="2" t="s">
        <v>85</v>
      </c>
      <c r="B11" s="1"/>
      <c r="C11" s="1">
        <v>2300</v>
      </c>
      <c r="D11" s="15">
        <v>160</v>
      </c>
      <c r="E11" s="3">
        <v>8660</v>
      </c>
      <c r="F11" s="2">
        <f t="shared" si="0"/>
        <v>9093</v>
      </c>
    </row>
    <row r="12" spans="1:6" x14ac:dyDescent="0.3">
      <c r="A12" s="2" t="s">
        <v>35</v>
      </c>
      <c r="B12" s="1"/>
      <c r="C12" s="1"/>
      <c r="D12" s="15"/>
      <c r="E12" s="3">
        <v>17950</v>
      </c>
      <c r="F12" s="2">
        <f t="shared" si="0"/>
        <v>18847.5</v>
      </c>
    </row>
    <row r="13" spans="1:6" x14ac:dyDescent="0.3">
      <c r="A13" s="65" t="s">
        <v>88</v>
      </c>
      <c r="B13" s="65"/>
      <c r="C13" s="65"/>
      <c r="D13" s="65"/>
      <c r="E13" s="65"/>
      <c r="F13" s="65"/>
    </row>
    <row r="14" spans="1:6" x14ac:dyDescent="0.3">
      <c r="A14" s="2" t="s">
        <v>236</v>
      </c>
      <c r="B14" s="1"/>
      <c r="C14" s="13" t="s">
        <v>98</v>
      </c>
      <c r="D14" s="13"/>
      <c r="E14" s="13">
        <v>1190</v>
      </c>
      <c r="F14" s="2">
        <f>E14+(E14*0.1)</f>
        <v>1309</v>
      </c>
    </row>
    <row r="15" spans="1:6" x14ac:dyDescent="0.3">
      <c r="A15" s="2" t="s">
        <v>89</v>
      </c>
      <c r="B15" s="1"/>
      <c r="C15" s="1" t="s">
        <v>90</v>
      </c>
      <c r="D15" s="15"/>
      <c r="E15" s="3">
        <v>2900</v>
      </c>
      <c r="F15" s="2">
        <f>E15+(E15*0.1)</f>
        <v>3190</v>
      </c>
    </row>
    <row r="16" spans="1:6" x14ac:dyDescent="0.3">
      <c r="A16" s="65" t="s">
        <v>474</v>
      </c>
      <c r="B16" s="65"/>
      <c r="C16" s="65"/>
      <c r="D16" s="65"/>
      <c r="E16" s="65"/>
      <c r="F16" s="65"/>
    </row>
    <row r="17" spans="1:6" x14ac:dyDescent="0.3">
      <c r="A17" s="2" t="s">
        <v>328</v>
      </c>
      <c r="B17" s="1"/>
      <c r="C17" s="1" t="s">
        <v>90</v>
      </c>
      <c r="D17" s="15"/>
      <c r="E17" s="3">
        <v>4190</v>
      </c>
      <c r="F17" s="2">
        <f>E17+(E17*0.1)</f>
        <v>4609</v>
      </c>
    </row>
    <row r="18" spans="1:6" x14ac:dyDescent="0.3">
      <c r="A18" s="65" t="s">
        <v>325</v>
      </c>
      <c r="B18" s="65"/>
      <c r="C18" s="65"/>
      <c r="D18" s="65"/>
      <c r="E18" s="65"/>
      <c r="F18" s="65"/>
    </row>
    <row r="19" spans="1:6" x14ac:dyDescent="0.3">
      <c r="A19" s="2" t="s">
        <v>336</v>
      </c>
      <c r="B19" s="1"/>
      <c r="C19" s="1" t="s">
        <v>90</v>
      </c>
      <c r="D19" s="15"/>
      <c r="E19" s="3">
        <v>3300</v>
      </c>
      <c r="F19" s="2">
        <f>E19+(E19*0.1)</f>
        <v>3630</v>
      </c>
    </row>
    <row r="20" spans="1:6" x14ac:dyDescent="0.3">
      <c r="A20" s="65" t="s">
        <v>291</v>
      </c>
      <c r="B20" s="65"/>
      <c r="C20" s="65"/>
      <c r="D20" s="65"/>
      <c r="E20" s="65"/>
      <c r="F20" s="65"/>
    </row>
    <row r="21" spans="1:6" x14ac:dyDescent="0.3">
      <c r="A21" s="2" t="s">
        <v>326</v>
      </c>
      <c r="B21" s="1" t="s">
        <v>381</v>
      </c>
      <c r="C21" s="1" t="s">
        <v>90</v>
      </c>
      <c r="D21" s="14"/>
      <c r="E21" s="3">
        <v>5290</v>
      </c>
      <c r="F21" s="2">
        <f>E21+(E21*0.1)</f>
        <v>5819</v>
      </c>
    </row>
    <row r="22" spans="1:6" x14ac:dyDescent="0.3">
      <c r="A22" s="65" t="s">
        <v>341</v>
      </c>
      <c r="B22" s="65"/>
      <c r="C22" s="65"/>
      <c r="D22" s="65"/>
      <c r="E22" s="65"/>
      <c r="F22" s="65"/>
    </row>
    <row r="23" spans="1:6" x14ac:dyDescent="0.3">
      <c r="A23" s="2" t="s">
        <v>339</v>
      </c>
      <c r="B23" s="1"/>
      <c r="C23" s="1" t="s">
        <v>90</v>
      </c>
      <c r="D23" s="14"/>
      <c r="E23" s="3">
        <v>2800</v>
      </c>
      <c r="F23" s="2">
        <f>E23+(E23*0.1)</f>
        <v>3080</v>
      </c>
    </row>
    <row r="24" spans="1:6" x14ac:dyDescent="0.3">
      <c r="A24" s="65" t="s">
        <v>342</v>
      </c>
      <c r="B24" s="65"/>
      <c r="C24" s="65"/>
      <c r="D24" s="65"/>
      <c r="E24" s="65"/>
      <c r="F24" s="65"/>
    </row>
    <row r="25" spans="1:6" x14ac:dyDescent="0.3">
      <c r="A25" s="2" t="s">
        <v>340</v>
      </c>
      <c r="B25" s="1"/>
      <c r="C25" s="1" t="s">
        <v>90</v>
      </c>
      <c r="D25" s="14"/>
      <c r="E25" s="3">
        <v>2320</v>
      </c>
      <c r="F25" s="2">
        <f>E25+(E25*0.1)</f>
        <v>2552</v>
      </c>
    </row>
    <row r="26" spans="1:6" x14ac:dyDescent="0.3">
      <c r="A26" s="65" t="s">
        <v>118</v>
      </c>
      <c r="B26" s="65"/>
      <c r="C26" s="65"/>
      <c r="D26" s="65"/>
      <c r="E26" s="65"/>
      <c r="F26" s="65"/>
    </row>
    <row r="27" spans="1:6" x14ac:dyDescent="0.3">
      <c r="A27" s="2" t="s">
        <v>172</v>
      </c>
      <c r="B27" s="1"/>
      <c r="C27" s="13">
        <v>1600</v>
      </c>
      <c r="D27" s="12">
        <v>200</v>
      </c>
      <c r="E27" s="12">
        <v>3690</v>
      </c>
      <c r="F27" s="2">
        <f>E27+(E27*0.05)</f>
        <v>3874.5</v>
      </c>
    </row>
    <row r="28" spans="1:6" x14ac:dyDescent="0.3">
      <c r="A28" s="2" t="s">
        <v>119</v>
      </c>
      <c r="B28" s="1"/>
      <c r="C28" s="1">
        <v>1800</v>
      </c>
      <c r="D28" s="15">
        <v>200</v>
      </c>
      <c r="E28" s="3">
        <v>4550</v>
      </c>
      <c r="F28" s="2">
        <f>E28+(E28*0.05)</f>
        <v>4777.5</v>
      </c>
    </row>
    <row r="29" spans="1:6" x14ac:dyDescent="0.3">
      <c r="A29" s="2" t="s">
        <v>128</v>
      </c>
      <c r="B29" s="1"/>
      <c r="C29" s="1">
        <v>5400</v>
      </c>
      <c r="D29" s="15">
        <v>250</v>
      </c>
      <c r="E29" s="3">
        <v>13200</v>
      </c>
      <c r="F29" s="2">
        <f t="shared" ref="F29:F30" si="1">E29+(E29*0.05)</f>
        <v>13860</v>
      </c>
    </row>
    <row r="30" spans="1:6" x14ac:dyDescent="0.3">
      <c r="A30" s="2" t="s">
        <v>129</v>
      </c>
      <c r="B30" s="1"/>
      <c r="C30" s="1">
        <v>5400</v>
      </c>
      <c r="D30" s="15">
        <v>250</v>
      </c>
      <c r="E30" s="3">
        <v>14200</v>
      </c>
      <c r="F30" s="2">
        <f t="shared" si="1"/>
        <v>14910</v>
      </c>
    </row>
    <row r="31" spans="1:6" x14ac:dyDescent="0.3">
      <c r="A31" s="65" t="s">
        <v>131</v>
      </c>
      <c r="B31" s="65"/>
      <c r="C31" s="65"/>
      <c r="D31" s="65"/>
      <c r="E31" s="65"/>
      <c r="F31" s="65"/>
    </row>
    <row r="32" spans="1:6" x14ac:dyDescent="0.3">
      <c r="A32" s="2" t="s">
        <v>132</v>
      </c>
      <c r="B32" s="1"/>
      <c r="C32" s="1" t="s">
        <v>133</v>
      </c>
      <c r="D32" s="15"/>
      <c r="E32" s="3">
        <v>4950</v>
      </c>
      <c r="F32" s="2">
        <f>E32+(E32*0.05)</f>
        <v>5197.5</v>
      </c>
    </row>
    <row r="33" spans="1:6" x14ac:dyDescent="0.3">
      <c r="A33" s="65" t="s">
        <v>141</v>
      </c>
      <c r="B33" s="65"/>
      <c r="C33" s="65"/>
      <c r="D33" s="65"/>
      <c r="E33" s="65"/>
      <c r="F33" s="65"/>
    </row>
    <row r="34" spans="1:6" x14ac:dyDescent="0.3">
      <c r="A34" s="2" t="s">
        <v>142</v>
      </c>
      <c r="B34" s="1"/>
      <c r="C34" s="1" t="s">
        <v>133</v>
      </c>
      <c r="D34" s="15"/>
      <c r="E34" s="3">
        <v>5300</v>
      </c>
      <c r="F34" s="2">
        <f>E34+(E34*0.05)</f>
        <v>5565</v>
      </c>
    </row>
    <row r="35" spans="1:6" x14ac:dyDescent="0.3">
      <c r="A35" s="65" t="s">
        <v>167</v>
      </c>
      <c r="B35" s="65"/>
      <c r="C35" s="65"/>
      <c r="D35" s="65"/>
      <c r="E35" s="65"/>
      <c r="F35" s="65"/>
    </row>
    <row r="36" spans="1:6" x14ac:dyDescent="0.3">
      <c r="A36" s="84" t="s">
        <v>168</v>
      </c>
      <c r="B36" s="84"/>
      <c r="C36" s="84"/>
      <c r="D36" s="84"/>
      <c r="E36" s="84"/>
      <c r="F36" s="84"/>
    </row>
    <row r="37" spans="1:6" x14ac:dyDescent="0.3">
      <c r="A37" s="85" t="s">
        <v>169</v>
      </c>
      <c r="B37" s="32"/>
      <c r="C37" s="87">
        <v>750</v>
      </c>
      <c r="D37" s="88">
        <v>8</v>
      </c>
      <c r="E37" s="88">
        <v>6650</v>
      </c>
      <c r="F37" s="88">
        <f>E37+(E37*0.1)</f>
        <v>7315</v>
      </c>
    </row>
    <row r="38" spans="1:6" x14ac:dyDescent="0.3">
      <c r="A38" s="86"/>
      <c r="B38" s="1"/>
      <c r="C38" s="87"/>
      <c r="D38" s="88"/>
      <c r="E38" s="88"/>
      <c r="F38" s="88"/>
    </row>
    <row r="39" spans="1:6" x14ac:dyDescent="0.3">
      <c r="A39" s="84" t="s">
        <v>171</v>
      </c>
      <c r="B39" s="84"/>
      <c r="C39" s="84"/>
      <c r="D39" s="84"/>
      <c r="E39" s="84"/>
      <c r="F39" s="84"/>
    </row>
    <row r="40" spans="1:6" x14ac:dyDescent="0.3">
      <c r="A40" s="85" t="s">
        <v>170</v>
      </c>
      <c r="B40" s="32"/>
      <c r="C40" s="87"/>
      <c r="D40" s="88">
        <v>8</v>
      </c>
      <c r="E40" s="88">
        <v>7300</v>
      </c>
      <c r="F40" s="88">
        <f>E40+(E40*0.1)</f>
        <v>8030</v>
      </c>
    </row>
    <row r="41" spans="1:6" x14ac:dyDescent="0.3">
      <c r="A41" s="86"/>
      <c r="B41" s="1"/>
      <c r="C41" s="87"/>
      <c r="D41" s="88"/>
      <c r="E41" s="88"/>
      <c r="F41" s="88"/>
    </row>
  </sheetData>
  <mergeCells count="23">
    <mergeCell ref="A39:F39"/>
    <mergeCell ref="A40:A41"/>
    <mergeCell ref="C40:C41"/>
    <mergeCell ref="D40:D41"/>
    <mergeCell ref="E40:E41"/>
    <mergeCell ref="F40:F41"/>
    <mergeCell ref="A35:F35"/>
    <mergeCell ref="A36:F36"/>
    <mergeCell ref="A37:A38"/>
    <mergeCell ref="C37:C38"/>
    <mergeCell ref="D37:D38"/>
    <mergeCell ref="E37:E38"/>
    <mergeCell ref="F37:F38"/>
    <mergeCell ref="A2:F2"/>
    <mergeCell ref="A13:F13"/>
    <mergeCell ref="A26:F26"/>
    <mergeCell ref="A31:F31"/>
    <mergeCell ref="A33:F33"/>
    <mergeCell ref="A18:F18"/>
    <mergeCell ref="A16:F16"/>
    <mergeCell ref="A20:F20"/>
    <mergeCell ref="A22:F22"/>
    <mergeCell ref="A24:F24"/>
  </mergeCells>
  <phoneticPr fontId="2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BCE7D-D3AF-44D7-9BFC-189F0FA9D183}">
  <sheetPr>
    <tabColor rgb="FF7030A0"/>
  </sheetPr>
  <dimension ref="A1:E11"/>
  <sheetViews>
    <sheetView workbookViewId="0">
      <selection activeCell="F1" sqref="F1:F1048576"/>
    </sheetView>
  </sheetViews>
  <sheetFormatPr defaultRowHeight="14.4" x14ac:dyDescent="0.3"/>
  <cols>
    <col min="1" max="1" width="31.109375" customWidth="1"/>
    <col min="2" max="2" width="8.88671875" hidden="1" customWidth="1"/>
    <col min="3" max="3" width="15.44140625" style="10" customWidth="1"/>
    <col min="4" max="4" width="8.5546875" hidden="1" customWidth="1"/>
    <col min="5" max="5" width="8.88671875" style="10"/>
  </cols>
  <sheetData>
    <row r="1" spans="1:5" x14ac:dyDescent="0.3">
      <c r="A1" s="5" t="s">
        <v>0</v>
      </c>
      <c r="B1" s="5" t="s">
        <v>1</v>
      </c>
      <c r="C1" s="1" t="s">
        <v>10</v>
      </c>
      <c r="D1" s="5" t="s">
        <v>16</v>
      </c>
      <c r="E1" s="1" t="s">
        <v>87</v>
      </c>
    </row>
    <row r="2" spans="1:5" x14ac:dyDescent="0.3">
      <c r="A2" s="89" t="s">
        <v>78</v>
      </c>
      <c r="B2" s="89"/>
      <c r="C2" s="89"/>
      <c r="D2" s="89"/>
      <c r="E2" s="89"/>
    </row>
    <row r="3" spans="1:5" x14ac:dyDescent="0.3">
      <c r="A3" s="2" t="s">
        <v>163</v>
      </c>
      <c r="B3" s="2">
        <v>725</v>
      </c>
      <c r="C3" s="1" t="s">
        <v>79</v>
      </c>
      <c r="D3" s="2">
        <f>B3+(B3*0.1)</f>
        <v>797.5</v>
      </c>
      <c r="E3" s="1" t="s">
        <v>150</v>
      </c>
    </row>
    <row r="4" spans="1:5" x14ac:dyDescent="0.3">
      <c r="A4" s="2" t="s">
        <v>164</v>
      </c>
      <c r="B4" s="2">
        <v>828</v>
      </c>
      <c r="C4" s="1" t="s">
        <v>80</v>
      </c>
      <c r="D4" s="2">
        <f>B4+(B4*0.1)</f>
        <v>910.8</v>
      </c>
      <c r="E4" s="1" t="s">
        <v>161</v>
      </c>
    </row>
    <row r="5" spans="1:5" x14ac:dyDescent="0.3">
      <c r="A5" s="2" t="s">
        <v>164</v>
      </c>
      <c r="B5" s="2">
        <v>1035</v>
      </c>
      <c r="C5" s="1" t="s">
        <v>81</v>
      </c>
      <c r="D5" s="2">
        <f>B5+(B5*0.1)</f>
        <v>1138.5</v>
      </c>
      <c r="E5" s="1" t="s">
        <v>162</v>
      </c>
    </row>
    <row r="6" spans="1:5" x14ac:dyDescent="0.3">
      <c r="A6" s="89" t="s">
        <v>84</v>
      </c>
      <c r="B6" s="89"/>
      <c r="C6" s="89"/>
      <c r="D6" s="89"/>
      <c r="E6" s="89"/>
    </row>
    <row r="7" spans="1:5" x14ac:dyDescent="0.3">
      <c r="A7" s="2" t="s">
        <v>82</v>
      </c>
      <c r="B7" s="2">
        <v>1800</v>
      </c>
      <c r="C7" s="1" t="s">
        <v>83</v>
      </c>
      <c r="D7" s="2">
        <f>B7+(B7*0.1)</f>
        <v>1980</v>
      </c>
      <c r="E7" s="1"/>
    </row>
    <row r="8" spans="1:5" x14ac:dyDescent="0.3">
      <c r="A8" s="89" t="s">
        <v>43</v>
      </c>
      <c r="B8" s="89"/>
      <c r="C8" s="89"/>
      <c r="D8" s="89"/>
      <c r="E8" s="89"/>
    </row>
    <row r="9" spans="1:5" x14ac:dyDescent="0.3">
      <c r="A9" s="2" t="s">
        <v>258</v>
      </c>
      <c r="B9" s="2">
        <v>2715</v>
      </c>
      <c r="C9" s="1" t="s">
        <v>257</v>
      </c>
      <c r="D9" s="2">
        <f>B9+(B9*0.1)</f>
        <v>2986.5</v>
      </c>
      <c r="E9" s="1" t="s">
        <v>259</v>
      </c>
    </row>
    <row r="10" spans="1:5" x14ac:dyDescent="0.3">
      <c r="A10" s="89" t="s">
        <v>42</v>
      </c>
      <c r="B10" s="89"/>
      <c r="C10" s="89"/>
      <c r="D10" s="89"/>
      <c r="E10" s="89"/>
    </row>
    <row r="11" spans="1:5" x14ac:dyDescent="0.3">
      <c r="A11" s="2" t="s">
        <v>343</v>
      </c>
      <c r="B11" s="2">
        <v>950</v>
      </c>
      <c r="C11" s="1" t="s">
        <v>344</v>
      </c>
      <c r="D11" s="2">
        <f>B11+(B11*0.1)</f>
        <v>1045</v>
      </c>
      <c r="E11" s="1" t="s">
        <v>178</v>
      </c>
    </row>
  </sheetData>
  <mergeCells count="4">
    <mergeCell ref="A2:E2"/>
    <mergeCell ref="A6:E6"/>
    <mergeCell ref="A8:E8"/>
    <mergeCell ref="A10:E10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AEC29-8B93-4451-9C3E-7D6AD8216DFB}">
  <sheetPr>
    <tabColor rgb="FFFFC000"/>
  </sheetPr>
  <dimension ref="A1:E17"/>
  <sheetViews>
    <sheetView workbookViewId="0">
      <selection activeCell="F1" sqref="F1:F1048576"/>
    </sheetView>
  </sheetViews>
  <sheetFormatPr defaultRowHeight="14.4" x14ac:dyDescent="0.3"/>
  <cols>
    <col min="1" max="1" width="32.33203125" customWidth="1"/>
    <col min="2" max="2" width="15.5546875" style="10" customWidth="1"/>
    <col min="3" max="3" width="12" style="10" customWidth="1"/>
    <col min="4" max="5" width="8.88671875" hidden="1" customWidth="1"/>
  </cols>
  <sheetData>
    <row r="1" spans="1:5" x14ac:dyDescent="0.3">
      <c r="A1" s="5" t="s">
        <v>0</v>
      </c>
      <c r="B1" s="1" t="s">
        <v>10</v>
      </c>
      <c r="C1" s="1" t="s">
        <v>87</v>
      </c>
      <c r="D1" s="5" t="s">
        <v>1</v>
      </c>
      <c r="E1" s="5" t="s">
        <v>32</v>
      </c>
    </row>
    <row r="2" spans="1:5" x14ac:dyDescent="0.3">
      <c r="A2" s="73" t="s">
        <v>92</v>
      </c>
      <c r="B2" s="73"/>
      <c r="C2" s="73"/>
      <c r="D2" s="90"/>
      <c r="E2" s="90"/>
    </row>
    <row r="3" spans="1:5" x14ac:dyDescent="0.3">
      <c r="A3" s="2" t="s">
        <v>453</v>
      </c>
      <c r="B3" s="1" t="s">
        <v>454</v>
      </c>
      <c r="C3" s="1" t="s">
        <v>174</v>
      </c>
      <c r="D3" s="2">
        <v>970</v>
      </c>
      <c r="E3" s="2">
        <f>D3+(D3*0.1)</f>
        <v>1067</v>
      </c>
    </row>
    <row r="4" spans="1:5" x14ac:dyDescent="0.3">
      <c r="A4" s="73" t="s">
        <v>42</v>
      </c>
      <c r="B4" s="73"/>
      <c r="C4" s="73"/>
      <c r="D4" s="90"/>
      <c r="E4" s="90"/>
    </row>
    <row r="5" spans="1:5" x14ac:dyDescent="0.3">
      <c r="A5" s="2" t="s">
        <v>455</v>
      </c>
      <c r="B5" s="1" t="s">
        <v>456</v>
      </c>
      <c r="C5" s="1" t="s">
        <v>175</v>
      </c>
      <c r="D5" s="2">
        <v>945</v>
      </c>
      <c r="E5" s="2">
        <f t="shared" ref="E5:E17" si="0">D5+(D5*0.1)</f>
        <v>1039.5</v>
      </c>
    </row>
    <row r="6" spans="1:5" x14ac:dyDescent="0.3">
      <c r="A6" s="2" t="s">
        <v>455</v>
      </c>
      <c r="B6" s="1" t="s">
        <v>457</v>
      </c>
      <c r="C6" s="1" t="s">
        <v>178</v>
      </c>
      <c r="D6" s="2">
        <v>1000</v>
      </c>
      <c r="E6" s="2">
        <f t="shared" si="0"/>
        <v>1100</v>
      </c>
    </row>
    <row r="7" spans="1:5" x14ac:dyDescent="0.3">
      <c r="A7" s="73" t="s">
        <v>3</v>
      </c>
      <c r="B7" s="73"/>
      <c r="C7" s="73"/>
      <c r="D7" s="90"/>
      <c r="E7" s="90"/>
    </row>
    <row r="8" spans="1:5" x14ac:dyDescent="0.3">
      <c r="A8" s="2" t="s">
        <v>458</v>
      </c>
      <c r="B8" s="1" t="s">
        <v>459</v>
      </c>
      <c r="C8" s="1" t="s">
        <v>177</v>
      </c>
      <c r="D8" s="2">
        <v>1040</v>
      </c>
      <c r="E8" s="2">
        <f t="shared" si="0"/>
        <v>1144</v>
      </c>
    </row>
    <row r="9" spans="1:5" x14ac:dyDescent="0.3">
      <c r="A9" s="2" t="s">
        <v>460</v>
      </c>
      <c r="B9" s="1" t="s">
        <v>461</v>
      </c>
      <c r="C9" s="1" t="s">
        <v>176</v>
      </c>
      <c r="D9" s="2">
        <v>715</v>
      </c>
      <c r="E9" s="2">
        <f t="shared" si="0"/>
        <v>786.5</v>
      </c>
    </row>
    <row r="10" spans="1:5" x14ac:dyDescent="0.3">
      <c r="A10" s="2" t="s">
        <v>460</v>
      </c>
      <c r="B10" s="1" t="s">
        <v>462</v>
      </c>
      <c r="C10" s="1" t="s">
        <v>176</v>
      </c>
      <c r="D10" s="2">
        <v>872</v>
      </c>
      <c r="E10" s="2">
        <f t="shared" si="0"/>
        <v>959.2</v>
      </c>
    </row>
    <row r="11" spans="1:5" x14ac:dyDescent="0.3">
      <c r="A11" s="2" t="s">
        <v>467</v>
      </c>
      <c r="B11" s="1" t="s">
        <v>468</v>
      </c>
      <c r="C11" s="1" t="s">
        <v>280</v>
      </c>
      <c r="D11" s="2">
        <v>1000</v>
      </c>
      <c r="E11" s="2">
        <f t="shared" si="0"/>
        <v>1100</v>
      </c>
    </row>
    <row r="12" spans="1:5" x14ac:dyDescent="0.3">
      <c r="A12" s="73" t="s">
        <v>179</v>
      </c>
      <c r="B12" s="73"/>
      <c r="C12" s="73"/>
      <c r="D12" s="90"/>
      <c r="E12" s="90"/>
    </row>
    <row r="13" spans="1:5" x14ac:dyDescent="0.3">
      <c r="A13" s="2" t="s">
        <v>463</v>
      </c>
      <c r="B13" s="1" t="s">
        <v>464</v>
      </c>
      <c r="C13" s="1" t="s">
        <v>178</v>
      </c>
      <c r="D13" s="2">
        <v>1812</v>
      </c>
      <c r="E13" s="2">
        <f t="shared" si="0"/>
        <v>1993.2</v>
      </c>
    </row>
    <row r="14" spans="1:5" x14ac:dyDescent="0.3">
      <c r="A14" s="73" t="s">
        <v>254</v>
      </c>
      <c r="B14" s="73"/>
      <c r="C14" s="73"/>
      <c r="D14" s="90"/>
      <c r="E14" s="90"/>
    </row>
    <row r="15" spans="1:5" x14ac:dyDescent="0.3">
      <c r="A15" s="2" t="s">
        <v>254</v>
      </c>
      <c r="B15" s="1" t="s">
        <v>466</v>
      </c>
      <c r="C15" s="1" t="s">
        <v>255</v>
      </c>
      <c r="D15" s="2">
        <v>720</v>
      </c>
      <c r="E15" s="2">
        <f t="shared" si="0"/>
        <v>792</v>
      </c>
    </row>
    <row r="16" spans="1:5" x14ac:dyDescent="0.3">
      <c r="A16" s="73" t="s">
        <v>452</v>
      </c>
      <c r="B16" s="73"/>
      <c r="C16" s="73"/>
      <c r="D16" s="90"/>
      <c r="E16" s="90"/>
    </row>
    <row r="17" spans="1:5" x14ac:dyDescent="0.3">
      <c r="A17" s="2" t="s">
        <v>451</v>
      </c>
      <c r="B17" s="1" t="s">
        <v>465</v>
      </c>
      <c r="C17" s="1" t="s">
        <v>90</v>
      </c>
      <c r="D17" s="2">
        <v>3500</v>
      </c>
      <c r="E17" s="2">
        <f t="shared" si="0"/>
        <v>3850</v>
      </c>
    </row>
  </sheetData>
  <mergeCells count="6">
    <mergeCell ref="A16:E16"/>
    <mergeCell ref="A2:E2"/>
    <mergeCell ref="A4:E4"/>
    <mergeCell ref="A7:E7"/>
    <mergeCell ref="A12:E12"/>
    <mergeCell ref="A14:E14"/>
  </mergeCells>
  <phoneticPr fontId="2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A4B56-38E5-4EA3-9305-62A2835A43AD}">
  <sheetPr>
    <tabColor rgb="FFFF0000"/>
  </sheetPr>
  <dimension ref="A1:D3"/>
  <sheetViews>
    <sheetView workbookViewId="0">
      <selection activeCell="E1" sqref="E1:E1048576"/>
    </sheetView>
  </sheetViews>
  <sheetFormatPr defaultColWidth="8.5546875" defaultRowHeight="14.4" x14ac:dyDescent="0.3"/>
  <cols>
    <col min="1" max="1" width="29.44140625" customWidth="1"/>
    <col min="2" max="2" width="10.77734375" customWidth="1"/>
    <col min="3" max="4" width="8.5546875" hidden="1" customWidth="1"/>
  </cols>
  <sheetData>
    <row r="1" spans="1:4" x14ac:dyDescent="0.3">
      <c r="A1" s="5" t="s">
        <v>0</v>
      </c>
      <c r="B1" s="1" t="s">
        <v>10</v>
      </c>
      <c r="C1" s="1" t="s">
        <v>1</v>
      </c>
      <c r="D1" s="1" t="s">
        <v>32</v>
      </c>
    </row>
    <row r="2" spans="1:4" x14ac:dyDescent="0.3">
      <c r="A2" s="65" t="s">
        <v>138</v>
      </c>
      <c r="B2" s="65"/>
      <c r="C2" s="65"/>
      <c r="D2" s="65"/>
    </row>
    <row r="3" spans="1:4" x14ac:dyDescent="0.3">
      <c r="A3" s="2" t="s">
        <v>138</v>
      </c>
      <c r="B3" s="1" t="s">
        <v>335</v>
      </c>
      <c r="C3" s="2">
        <v>580</v>
      </c>
      <c r="D3" s="2">
        <f>C3+(C3*0.1)</f>
        <v>638</v>
      </c>
    </row>
  </sheetData>
  <mergeCells count="1">
    <mergeCell ref="A2:D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4EA12-985D-4C2A-B61B-D15F04B728EE}">
  <sheetPr>
    <tabColor rgb="FFFF0000"/>
  </sheetPr>
  <dimension ref="A1:F3"/>
  <sheetViews>
    <sheetView workbookViewId="0">
      <selection activeCell="G1" sqref="G1:G1048576"/>
    </sheetView>
  </sheetViews>
  <sheetFormatPr defaultRowHeight="14.4" x14ac:dyDescent="0.3"/>
  <cols>
    <col min="1" max="1" width="32" customWidth="1"/>
    <col min="2" max="2" width="12.5546875" style="6" customWidth="1"/>
    <col min="3" max="5" width="8.88671875" hidden="1" customWidth="1"/>
    <col min="6" max="6" width="8.88671875" style="6" hidden="1" customWidth="1"/>
  </cols>
  <sheetData>
    <row r="1" spans="1:6" s="10" customFormat="1" x14ac:dyDescent="0.3">
      <c r="A1" s="39" t="s">
        <v>0</v>
      </c>
      <c r="B1" s="1" t="s">
        <v>10</v>
      </c>
      <c r="C1" s="1" t="s">
        <v>1</v>
      </c>
      <c r="D1" s="1" t="s">
        <v>424</v>
      </c>
      <c r="E1" s="1" t="s">
        <v>36</v>
      </c>
      <c r="F1" s="3" t="s">
        <v>32</v>
      </c>
    </row>
    <row r="2" spans="1:6" s="10" customFormat="1" x14ac:dyDescent="0.3">
      <c r="A2" s="65" t="s">
        <v>436</v>
      </c>
      <c r="B2" s="65"/>
      <c r="C2" s="65"/>
      <c r="D2" s="65"/>
      <c r="E2" s="65"/>
      <c r="F2" s="65"/>
    </row>
    <row r="3" spans="1:6" x14ac:dyDescent="0.3">
      <c r="A3" s="2" t="s">
        <v>434</v>
      </c>
      <c r="B3" s="3" t="s">
        <v>435</v>
      </c>
      <c r="C3" s="2">
        <v>272</v>
      </c>
      <c r="D3" s="2">
        <f>C3-(C3*0.4)</f>
        <v>163.19999999999999</v>
      </c>
      <c r="E3" s="2">
        <f>D3+(D3*0.18)</f>
        <v>192.57599999999999</v>
      </c>
      <c r="F3" s="3">
        <f>E3+(E3*0.1)</f>
        <v>211.83359999999999</v>
      </c>
    </row>
  </sheetData>
  <mergeCells count="1">
    <mergeCell ref="A2:F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0CB4D-AB6E-4653-984E-3468029F6183}">
  <sheetPr>
    <tabColor theme="7" tint="0.39997558519241921"/>
  </sheetPr>
  <dimension ref="A1:E11"/>
  <sheetViews>
    <sheetView tabSelected="1" workbookViewId="0">
      <selection activeCell="F1" sqref="F1:F1048576"/>
    </sheetView>
  </sheetViews>
  <sheetFormatPr defaultRowHeight="14.4" x14ac:dyDescent="0.3"/>
  <cols>
    <col min="1" max="1" width="43.21875" customWidth="1"/>
    <col min="2" max="2" width="8.88671875" hidden="1" customWidth="1"/>
    <col min="3" max="3" width="7" style="10" bestFit="1" customWidth="1"/>
    <col min="4" max="4" width="8.88671875" style="6" customWidth="1"/>
    <col min="5" max="5" width="8.88671875" hidden="1" customWidth="1"/>
  </cols>
  <sheetData>
    <row r="1" spans="1:5" x14ac:dyDescent="0.3">
      <c r="A1" s="5" t="s">
        <v>0</v>
      </c>
      <c r="B1" s="5" t="s">
        <v>1</v>
      </c>
      <c r="C1" s="1" t="s">
        <v>87</v>
      </c>
      <c r="D1" s="1" t="s">
        <v>253</v>
      </c>
      <c r="E1" s="5" t="s">
        <v>32</v>
      </c>
    </row>
    <row r="2" spans="1:5" x14ac:dyDescent="0.3">
      <c r="A2" s="73" t="s">
        <v>5</v>
      </c>
      <c r="B2" s="73"/>
      <c r="C2" s="73"/>
      <c r="D2" s="73"/>
      <c r="E2" s="73"/>
    </row>
    <row r="3" spans="1:5" x14ac:dyDescent="0.3">
      <c r="A3" s="2" t="s">
        <v>49</v>
      </c>
      <c r="B3" s="2">
        <v>5300</v>
      </c>
      <c r="C3" s="1"/>
      <c r="D3" s="3"/>
      <c r="E3" s="2">
        <f>B3+(B3*0.1)</f>
        <v>5830</v>
      </c>
    </row>
    <row r="4" spans="1:5" x14ac:dyDescent="0.3">
      <c r="A4" s="2" t="s">
        <v>50</v>
      </c>
      <c r="B4" s="2">
        <v>7200</v>
      </c>
      <c r="C4" s="1"/>
      <c r="D4" s="3"/>
      <c r="E4" s="2">
        <f>B4+(B4*0.1)</f>
        <v>7920</v>
      </c>
    </row>
    <row r="5" spans="1:5" x14ac:dyDescent="0.3">
      <c r="A5" s="11" t="s">
        <v>252</v>
      </c>
      <c r="B5" s="2">
        <v>6860</v>
      </c>
      <c r="C5" s="1">
        <v>3000</v>
      </c>
      <c r="D5" s="3">
        <v>300</v>
      </c>
      <c r="E5" s="2">
        <f>B5+(B5*0.1)</f>
        <v>7546</v>
      </c>
    </row>
    <row r="6" spans="1:5" x14ac:dyDescent="0.3">
      <c r="A6" s="73" t="s">
        <v>226</v>
      </c>
      <c r="B6" s="73"/>
      <c r="C6" s="73"/>
      <c r="D6" s="73"/>
      <c r="E6" s="73"/>
    </row>
    <row r="7" spans="1:5" x14ac:dyDescent="0.3">
      <c r="A7" s="28" t="s">
        <v>225</v>
      </c>
      <c r="B7" s="2">
        <v>2780</v>
      </c>
      <c r="C7" s="1">
        <v>1000</v>
      </c>
      <c r="D7" s="3"/>
      <c r="E7" s="2">
        <f>B7+(B7*0.1)</f>
        <v>3058</v>
      </c>
    </row>
    <row r="8" spans="1:5" x14ac:dyDescent="0.3">
      <c r="A8" s="73" t="s">
        <v>312</v>
      </c>
      <c r="B8" s="73"/>
      <c r="C8" s="73"/>
      <c r="D8" s="73"/>
      <c r="E8" s="73"/>
    </row>
    <row r="9" spans="1:5" x14ac:dyDescent="0.3">
      <c r="A9" s="11" t="s">
        <v>311</v>
      </c>
      <c r="B9" s="2">
        <v>1100</v>
      </c>
      <c r="C9" s="1" t="s">
        <v>98</v>
      </c>
      <c r="D9" s="3"/>
      <c r="E9" s="2">
        <f>B9+(B9*0.1)</f>
        <v>1210</v>
      </c>
    </row>
    <row r="10" spans="1:5" x14ac:dyDescent="0.3">
      <c r="A10" s="28" t="s">
        <v>473</v>
      </c>
      <c r="B10" s="2">
        <v>1340</v>
      </c>
      <c r="C10" s="1" t="s">
        <v>98</v>
      </c>
      <c r="D10" s="3"/>
      <c r="E10" s="2">
        <f>B10+(B10*0.1)</f>
        <v>1474</v>
      </c>
    </row>
    <row r="11" spans="1:5" x14ac:dyDescent="0.3">
      <c r="A11" s="28" t="s">
        <v>470</v>
      </c>
      <c r="B11" s="2">
        <v>3000</v>
      </c>
      <c r="C11" s="1" t="s">
        <v>90</v>
      </c>
      <c r="D11" s="3"/>
      <c r="E11" s="2">
        <f>B11+(B11*0.1)</f>
        <v>3300</v>
      </c>
    </row>
  </sheetData>
  <mergeCells count="3">
    <mergeCell ref="A2:E2"/>
    <mergeCell ref="A6:E6"/>
    <mergeCell ref="A8:E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BOSCH</vt:lpstr>
      <vt:lpstr>CHECKMATE</vt:lpstr>
      <vt:lpstr>CHINESE GENERIC</vt:lpstr>
      <vt:lpstr>DEWALT</vt:lpstr>
      <vt:lpstr>DONGCHENG </vt:lpstr>
      <vt:lpstr>ELECTO TOOLS</vt:lpstr>
      <vt:lpstr>FAD</vt:lpstr>
      <vt:lpstr>GALAXY PRO</vt:lpstr>
      <vt:lpstr>GLOBAL</vt:lpstr>
      <vt:lpstr>GOLDEN BULLET</vt:lpstr>
      <vt:lpstr>GUSTER</vt:lpstr>
      <vt:lpstr>HIKOKI</vt:lpstr>
      <vt:lpstr>JON BHANDARI</vt:lpstr>
      <vt:lpstr>KISAN KRAFT</vt:lpstr>
      <vt:lpstr>MAF PRO</vt:lpstr>
      <vt:lpstr>MAKITA</vt:lpstr>
      <vt:lpstr>MEGA GLUE GUNS</vt:lpstr>
      <vt:lpstr>MITSUKI</vt:lpstr>
      <vt:lpstr>PARKSIIDE</vt:lpstr>
      <vt:lpstr>PERFECT TOOLS</vt:lpstr>
      <vt:lpstr>POWERBILT</vt:lpstr>
      <vt:lpstr>POWERMATIC</vt:lpstr>
      <vt:lpstr>PROFESSIONAL</vt:lpstr>
      <vt:lpstr>PRO CUT</vt:lpstr>
      <vt:lpstr>PRO MAXX</vt:lpstr>
      <vt:lpstr>RUSTEZE</vt:lpstr>
      <vt:lpstr>SEPACK SEALING MACHINES</vt:lpstr>
      <vt:lpstr>SOLDRON</vt:lpstr>
      <vt:lpstr>stanley</vt:lpstr>
      <vt:lpstr>STRONG ALI</vt:lpstr>
      <vt:lpstr>THOR</vt:lpstr>
      <vt:lpstr>TOSHWELD</vt:lpstr>
      <vt:lpstr>TUQO</vt:lpstr>
      <vt:lpstr>ULTRAFAST</vt:lpstr>
      <vt:lpstr>ULTRA TOUCH</vt:lpstr>
      <vt:lpstr>UNIQAL</vt:lpstr>
      <vt:lpstr>whdz</vt:lpstr>
      <vt:lpstr>XLNT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Mustufa Burhan</dc:creator>
  <cp:lastModifiedBy>NOOR AGENCIES</cp:lastModifiedBy>
  <dcterms:created xsi:type="dcterms:W3CDTF">2024-04-27T06:17:49Z</dcterms:created>
  <dcterms:modified xsi:type="dcterms:W3CDTF">2026-07-10T18:54:57Z</dcterms:modified>
</cp:coreProperties>
</file>