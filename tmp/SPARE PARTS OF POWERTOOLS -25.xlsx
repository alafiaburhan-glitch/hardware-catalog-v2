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1a9480d15f833/Desktop/data/"/>
    </mc:Choice>
  </mc:AlternateContent>
  <xr:revisionPtr revIDLastSave="350" documentId="8_{82A60DF2-9F01-45B6-A646-E7FCF70E550D}" xr6:coauthVersionLast="47" xr6:coauthVersionMax="47" xr10:uidLastSave="{2BAD9B5D-48C7-40C1-9468-7294D07BDEE7}"/>
  <bookViews>
    <workbookView xWindow="-108" yWindow="-108" windowWidth="23256" windowHeight="12456" xr2:uid="{4B0CD499-2DF4-4749-9DFD-80388A723234}"/>
  </bookViews>
  <sheets>
    <sheet name="ANGLE GRIN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E40" i="1"/>
  <c r="G26" i="1"/>
  <c r="G30" i="1"/>
  <c r="G12" i="1"/>
  <c r="G25" i="1"/>
  <c r="G21" i="1"/>
  <c r="G35" i="1"/>
  <c r="G11" i="1"/>
  <c r="G10" i="1"/>
  <c r="G16" i="1"/>
  <c r="G4" i="1"/>
  <c r="G40" i="1" l="1"/>
  <c r="F40" i="1"/>
</calcChain>
</file>

<file path=xl/sharedStrings.xml><?xml version="1.0" encoding="utf-8"?>
<sst xmlns="http://schemas.openxmlformats.org/spreadsheetml/2006/main" count="53" uniqueCount="43">
  <si>
    <t>ITEM DESCRIPTION</t>
  </si>
  <si>
    <t>COST</t>
  </si>
  <si>
    <t>MARGIN</t>
  </si>
  <si>
    <t>IMAGE</t>
  </si>
  <si>
    <t>AB WASHERS</t>
  </si>
  <si>
    <t>ANGLE GRINDER SPARES</t>
  </si>
  <si>
    <t>DRILLING MACHINE SPARES</t>
  </si>
  <si>
    <t>BRAND</t>
  </si>
  <si>
    <t>4" AB WASHER</t>
  </si>
  <si>
    <t>SAW MASTER</t>
  </si>
  <si>
    <t>DRILL CHUCK</t>
  </si>
  <si>
    <t>DRLL CHUCK 1/2" 13MM    [1/2-20UNF]</t>
  </si>
  <si>
    <t>JON BHANDARI</t>
  </si>
  <si>
    <t>DRILL CHUCK KEY</t>
  </si>
  <si>
    <t xml:space="preserve">DRILL CHUCK KEY 13MM </t>
  </si>
  <si>
    <t>BOSCH</t>
  </si>
  <si>
    <t>CARBON BRUSHES</t>
  </si>
  <si>
    <t>SUITABLE MACHINES</t>
  </si>
  <si>
    <t>CARBON BRUSH BOSCH</t>
  </si>
  <si>
    <t>GWS 900,GWS 750</t>
  </si>
  <si>
    <t>AG4</t>
  </si>
  <si>
    <t>GWS 600</t>
  </si>
  <si>
    <t>DEMOLITION HAMMER SPARES</t>
  </si>
  <si>
    <t>11E</t>
  </si>
  <si>
    <t>CARBON BRUSH</t>
  </si>
  <si>
    <t>DWD014-IN</t>
  </si>
  <si>
    <t>DEWALT</t>
  </si>
  <si>
    <r>
      <t xml:space="preserve">CARBON BRUSH </t>
    </r>
    <r>
      <rPr>
        <b/>
        <sz val="11"/>
        <color theme="1"/>
        <rFont val="Calibri"/>
        <family val="2"/>
        <scheme val="minor"/>
      </rPr>
      <t>N022038</t>
    </r>
  </si>
  <si>
    <r>
      <t xml:space="preserve">CARBON BRUSH </t>
    </r>
    <r>
      <rPr>
        <b/>
        <sz val="11"/>
        <color theme="1"/>
        <rFont val="Calibri"/>
        <family val="2"/>
        <scheme val="minor"/>
      </rPr>
      <t>N489912</t>
    </r>
  </si>
  <si>
    <t>DW801-IN,DW803-IN</t>
  </si>
  <si>
    <r>
      <t xml:space="preserve">CARBON BRUSH BOSCH </t>
    </r>
    <r>
      <rPr>
        <b/>
        <sz val="11"/>
        <color theme="1"/>
        <rFont val="Calibri"/>
        <family val="2"/>
        <scheme val="minor"/>
      </rPr>
      <t>1.619.P11.715</t>
    </r>
  </si>
  <si>
    <t>CORDLESS DRILLING MACHINE SPARES</t>
  </si>
  <si>
    <t>SPARE BATTERY</t>
  </si>
  <si>
    <t>SPARE BATTERY 12.0V</t>
  </si>
  <si>
    <t>GSR120-LI</t>
  </si>
  <si>
    <t>GSB-600</t>
  </si>
  <si>
    <r>
      <t xml:space="preserve">CARBON BRUSH BOSCH </t>
    </r>
    <r>
      <rPr>
        <b/>
        <sz val="11"/>
        <color theme="1"/>
        <rFont val="Calibri"/>
        <family val="2"/>
        <scheme val="minor"/>
      </rPr>
      <t>2.610.391.290</t>
    </r>
  </si>
  <si>
    <t>CORDLESS CHINA POWER TOOLS</t>
  </si>
  <si>
    <t xml:space="preserve">SPARE BATTERY </t>
  </si>
  <si>
    <t>WASHER,BLOWER</t>
  </si>
  <si>
    <t>GST</t>
  </si>
  <si>
    <t>FRIEGHT</t>
  </si>
  <si>
    <t>DWE4215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</si>
</sst>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32384</xdr:colOff>
      <xdr:row>3</xdr:row>
      <xdr:rowOff>120015</xdr:rowOff>
    </xdr:from>
    <xdr:to>
      <xdr:col>7</xdr:col>
      <xdr:colOff>584835</xdr:colOff>
      <xdr:row>6</xdr:row>
      <xdr:rowOff>80010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5531C-FEF6-66A8-7EC2-141A7338C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0044" y="485775"/>
          <a:ext cx="560071" cy="508635"/>
        </a:xfrm>
        <a:prstGeom prst="rect">
          <a:avLst/>
        </a:prstGeom>
      </xdr:spPr>
    </xdr:pic>
    <xdr:clientData/>
  </xdr:twoCellAnchor>
  <xdr:twoCellAnchor editAs="oneCell">
    <xdr:from>
      <xdr:col>7</xdr:col>
      <xdr:colOff>98975</xdr:colOff>
      <xdr:row>16</xdr:row>
      <xdr:rowOff>8374</xdr:rowOff>
    </xdr:from>
    <xdr:to>
      <xdr:col>7</xdr:col>
      <xdr:colOff>517434</xdr:colOff>
      <xdr:row>18</xdr:row>
      <xdr:rowOff>22861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DB408-5424-96AE-1B8A-E304BF8CD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6777" y="2955890"/>
          <a:ext cx="418459" cy="382927"/>
        </a:xfrm>
        <a:prstGeom prst="rect">
          <a:avLst/>
        </a:prstGeom>
      </xdr:spPr>
    </xdr:pic>
    <xdr:clientData/>
  </xdr:twoCellAnchor>
  <xdr:twoCellAnchor editAs="oneCell">
    <xdr:from>
      <xdr:col>7</xdr:col>
      <xdr:colOff>53341</xdr:colOff>
      <xdr:row>20</xdr:row>
      <xdr:rowOff>68581</xdr:rowOff>
    </xdr:from>
    <xdr:to>
      <xdr:col>7</xdr:col>
      <xdr:colOff>565237</xdr:colOff>
      <xdr:row>22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84F5FF-658E-512B-AE41-8C9FDF74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1" y="3726181"/>
          <a:ext cx="511896" cy="381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8812</xdr:rowOff>
    </xdr:from>
    <xdr:to>
      <xdr:col>8</xdr:col>
      <xdr:colOff>70255</xdr:colOff>
      <xdr:row>12</xdr:row>
      <xdr:rowOff>178274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7CBBFC-D941-5415-6AB7-06AEA7DEB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4349" y="1666790"/>
          <a:ext cx="656409" cy="72212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151918</xdr:rowOff>
    </xdr:from>
    <xdr:to>
      <xdr:col>8</xdr:col>
      <xdr:colOff>92026</xdr:colOff>
      <xdr:row>37</xdr:row>
      <xdr:rowOff>131801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CBD80-CEC4-4EEB-B6F4-E7FC3C691C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3115" y="6231171"/>
          <a:ext cx="678180" cy="716762"/>
        </a:xfrm>
        <a:prstGeom prst="rect">
          <a:avLst/>
        </a:prstGeom>
      </xdr:spPr>
    </xdr:pic>
    <xdr:clientData/>
  </xdr:twoCellAnchor>
  <xdr:twoCellAnchor>
    <xdr:from>
      <xdr:col>7</xdr:col>
      <xdr:colOff>27008</xdr:colOff>
      <xdr:row>23</xdr:row>
      <xdr:rowOff>129541</xdr:rowOff>
    </xdr:from>
    <xdr:to>
      <xdr:col>7</xdr:col>
      <xdr:colOff>571500</xdr:colOff>
      <xdr:row>27</xdr:row>
      <xdr:rowOff>3261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063DD4-380F-4D15-8158-5271E930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2968" y="4335781"/>
          <a:ext cx="544492" cy="6052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125718</xdr:rowOff>
    </xdr:from>
    <xdr:to>
      <xdr:col>8</xdr:col>
      <xdr:colOff>382034</xdr:colOff>
      <xdr:row>33</xdr:row>
      <xdr:rowOff>43233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9F2FFA-BA3F-D250-2E22-625D710A6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277" y="5099652"/>
          <a:ext cx="968188" cy="1022834"/>
        </a:xfrm>
        <a:prstGeom prst="rect">
          <a:avLst/>
        </a:prstGeom>
      </xdr:spPr>
    </xdr:pic>
    <xdr:clientData/>
  </xdr:twoCellAnchor>
  <xdr:twoCellAnchor>
    <xdr:from>
      <xdr:col>7</xdr:col>
      <xdr:colOff>16747</xdr:colOff>
      <xdr:row>39</xdr:row>
      <xdr:rowOff>184219</xdr:rowOff>
    </xdr:from>
    <xdr:to>
      <xdr:col>8</xdr:col>
      <xdr:colOff>8373</xdr:colOff>
      <xdr:row>39</xdr:row>
      <xdr:rowOff>644769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BEB2C86-D7A0-F05D-9FE5-9B8DC2C6F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7736" y="7368790"/>
          <a:ext cx="577780" cy="46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6973-D28C-433E-8227-9E813286BEF1}">
  <sheetPr>
    <tabColor theme="4"/>
  </sheetPr>
  <dimension ref="A1:H40"/>
  <sheetViews>
    <sheetView tabSelected="1" topLeftCell="A19" zoomScale="91" zoomScaleNormal="91" workbookViewId="0">
      <selection activeCell="P14" sqref="P14"/>
    </sheetView>
  </sheetViews>
  <sheetFormatPr defaultColWidth="8.5546875" defaultRowHeight="14.4" x14ac:dyDescent="0.3"/>
  <cols>
    <col min="1" max="1" width="33.6640625" customWidth="1"/>
    <col min="2" max="2" width="15" style="6" customWidth="1"/>
    <col min="3" max="3" width="19.21875" style="1" customWidth="1"/>
    <col min="4" max="4" width="13.33203125" style="1" hidden="1" customWidth="1"/>
    <col min="5" max="7" width="8.88671875" style="1" hidden="1" customWidth="1"/>
  </cols>
  <sheetData>
    <row r="1" spans="1:8" x14ac:dyDescent="0.3">
      <c r="A1" s="2" t="s">
        <v>0</v>
      </c>
      <c r="B1" s="3" t="s">
        <v>7</v>
      </c>
      <c r="C1" s="3" t="s">
        <v>17</v>
      </c>
      <c r="D1" s="3" t="s">
        <v>1</v>
      </c>
      <c r="E1" s="3" t="s">
        <v>40</v>
      </c>
      <c r="F1" s="3" t="s">
        <v>41</v>
      </c>
      <c r="G1" s="3" t="s">
        <v>2</v>
      </c>
      <c r="H1" s="2" t="s">
        <v>3</v>
      </c>
    </row>
    <row r="2" spans="1:8" x14ac:dyDescent="0.3">
      <c r="A2" s="23" t="s">
        <v>5</v>
      </c>
      <c r="B2" s="24"/>
      <c r="C2" s="24"/>
      <c r="D2" s="24"/>
      <c r="E2" s="24"/>
      <c r="F2" s="24"/>
      <c r="G2" s="24"/>
      <c r="H2" s="25"/>
    </row>
    <row r="3" spans="1:8" x14ac:dyDescent="0.3">
      <c r="A3" s="19" t="s">
        <v>4</v>
      </c>
      <c r="B3" s="19"/>
      <c r="C3" s="19"/>
      <c r="D3" s="19"/>
      <c r="E3" s="19"/>
      <c r="F3" s="19"/>
      <c r="G3" s="19"/>
      <c r="H3" s="19"/>
    </row>
    <row r="4" spans="1:8" x14ac:dyDescent="0.3">
      <c r="A4" s="4" t="s">
        <v>8</v>
      </c>
      <c r="B4" s="8" t="s">
        <v>9</v>
      </c>
      <c r="C4" s="5" t="s">
        <v>20</v>
      </c>
      <c r="D4" s="5"/>
      <c r="E4" s="5">
        <v>19</v>
      </c>
      <c r="F4" s="5"/>
      <c r="G4" s="5">
        <f>E4+(E4*0.2)</f>
        <v>22.8</v>
      </c>
      <c r="H4" s="22"/>
    </row>
    <row r="5" spans="1:8" x14ac:dyDescent="0.3">
      <c r="A5" s="4"/>
      <c r="B5" s="3"/>
      <c r="C5" s="5"/>
      <c r="D5" s="5"/>
      <c r="E5" s="5"/>
      <c r="F5" s="5"/>
      <c r="G5" s="5"/>
      <c r="H5" s="22"/>
    </row>
    <row r="6" spans="1:8" x14ac:dyDescent="0.3">
      <c r="A6" s="4"/>
      <c r="B6" s="3"/>
      <c r="C6" s="5"/>
      <c r="D6" s="5"/>
      <c r="E6" s="5"/>
      <c r="F6" s="5"/>
      <c r="G6" s="5"/>
      <c r="H6" s="22"/>
    </row>
    <row r="7" spans="1:8" x14ac:dyDescent="0.3">
      <c r="A7" s="4"/>
      <c r="B7" s="3"/>
      <c r="C7" s="5"/>
      <c r="D7" s="5"/>
      <c r="E7" s="5"/>
      <c r="F7" s="5"/>
      <c r="G7" s="5"/>
      <c r="H7" s="22"/>
    </row>
    <row r="8" spans="1:8" x14ac:dyDescent="0.3">
      <c r="A8" s="4"/>
      <c r="B8" s="3"/>
      <c r="C8" s="5"/>
      <c r="D8" s="5"/>
      <c r="E8" s="5"/>
      <c r="F8" s="5"/>
      <c r="G8" s="5"/>
      <c r="H8" s="22"/>
    </row>
    <row r="9" spans="1:8" x14ac:dyDescent="0.3">
      <c r="A9" s="19" t="s">
        <v>16</v>
      </c>
      <c r="B9" s="19"/>
      <c r="C9" s="19"/>
      <c r="D9" s="19"/>
      <c r="E9" s="19"/>
      <c r="F9" s="19"/>
      <c r="G9" s="19"/>
      <c r="H9" s="19"/>
    </row>
    <row r="10" spans="1:8" x14ac:dyDescent="0.3">
      <c r="A10" s="4" t="s">
        <v>30</v>
      </c>
      <c r="B10" s="9" t="s">
        <v>15</v>
      </c>
      <c r="C10" s="5" t="s">
        <v>19</v>
      </c>
      <c r="D10" s="5"/>
      <c r="E10" s="5">
        <v>143</v>
      </c>
      <c r="F10" s="5"/>
      <c r="G10" s="5">
        <f>E10+(E10*0.1)</f>
        <v>157.30000000000001</v>
      </c>
      <c r="H10" s="16"/>
    </row>
    <row r="11" spans="1:8" x14ac:dyDescent="0.3">
      <c r="A11" s="4" t="s">
        <v>18</v>
      </c>
      <c r="B11" s="9" t="s">
        <v>15</v>
      </c>
      <c r="C11" s="5" t="s">
        <v>21</v>
      </c>
      <c r="D11" s="5"/>
      <c r="E11" s="5">
        <v>82</v>
      </c>
      <c r="F11" s="5"/>
      <c r="G11" s="5">
        <f>E11+(E11*0.1)</f>
        <v>90.2</v>
      </c>
      <c r="H11" s="17"/>
    </row>
    <row r="12" spans="1:8" x14ac:dyDescent="0.3">
      <c r="A12" s="4" t="s">
        <v>28</v>
      </c>
      <c r="B12" s="11" t="s">
        <v>26</v>
      </c>
      <c r="C12" s="5" t="s">
        <v>29</v>
      </c>
      <c r="D12" s="5"/>
      <c r="E12" s="5">
        <v>88.8</v>
      </c>
      <c r="F12" s="5"/>
      <c r="G12" s="5">
        <f>E12+(E12*0.1)</f>
        <v>97.679999999999993</v>
      </c>
      <c r="H12" s="17"/>
    </row>
    <row r="13" spans="1:8" x14ac:dyDescent="0.3">
      <c r="A13" s="4" t="s">
        <v>24</v>
      </c>
      <c r="B13" s="11" t="s">
        <v>26</v>
      </c>
      <c r="C13" s="5" t="s">
        <v>42</v>
      </c>
      <c r="D13" s="5"/>
      <c r="E13" s="5">
        <v>230</v>
      </c>
      <c r="F13" s="5"/>
      <c r="G13" s="5">
        <f>E13+(E13*0.1)</f>
        <v>253</v>
      </c>
      <c r="H13" s="18"/>
    </row>
    <row r="14" spans="1:8" x14ac:dyDescent="0.3">
      <c r="A14" s="20" t="s">
        <v>6</v>
      </c>
      <c r="B14" s="20"/>
      <c r="C14" s="20"/>
      <c r="D14" s="20"/>
      <c r="E14" s="21"/>
      <c r="F14" s="21"/>
      <c r="G14" s="21"/>
      <c r="H14" s="21"/>
    </row>
    <row r="15" spans="1:8" x14ac:dyDescent="0.3">
      <c r="A15" s="19" t="s">
        <v>10</v>
      </c>
      <c r="B15" s="19"/>
      <c r="C15" s="19"/>
      <c r="D15" s="19"/>
      <c r="E15" s="19"/>
      <c r="F15" s="19"/>
      <c r="G15" s="19"/>
      <c r="H15" s="19"/>
    </row>
    <row r="16" spans="1:8" x14ac:dyDescent="0.3">
      <c r="A16" s="4" t="s">
        <v>11</v>
      </c>
      <c r="B16" s="7" t="s">
        <v>12</v>
      </c>
      <c r="C16" s="5"/>
      <c r="D16" s="5"/>
      <c r="E16" s="5">
        <v>105</v>
      </c>
      <c r="F16" s="5"/>
      <c r="G16" s="5">
        <f>E16+(E16*0.2)</f>
        <v>126</v>
      </c>
      <c r="H16" s="16"/>
    </row>
    <row r="17" spans="1:8" x14ac:dyDescent="0.3">
      <c r="A17" s="4"/>
      <c r="B17" s="3"/>
      <c r="C17" s="5"/>
      <c r="D17" s="5"/>
      <c r="E17" s="5"/>
      <c r="F17" s="5"/>
      <c r="G17" s="5"/>
      <c r="H17" s="17"/>
    </row>
    <row r="18" spans="1:8" x14ac:dyDescent="0.3">
      <c r="A18" s="4"/>
      <c r="B18" s="3"/>
      <c r="C18" s="5"/>
      <c r="D18" s="5"/>
      <c r="E18" s="5"/>
      <c r="F18" s="5"/>
      <c r="G18" s="5"/>
      <c r="H18" s="17"/>
    </row>
    <row r="19" spans="1:8" x14ac:dyDescent="0.3">
      <c r="A19" s="4"/>
      <c r="B19" s="3"/>
      <c r="C19" s="5"/>
      <c r="D19" s="5"/>
      <c r="E19" s="5"/>
      <c r="F19" s="5"/>
      <c r="G19" s="5"/>
      <c r="H19" s="18"/>
    </row>
    <row r="20" spans="1:8" x14ac:dyDescent="0.3">
      <c r="A20" s="19" t="s">
        <v>13</v>
      </c>
      <c r="B20" s="19"/>
      <c r="C20" s="19"/>
      <c r="D20" s="19"/>
      <c r="E20" s="19"/>
      <c r="F20" s="19"/>
      <c r="G20" s="19"/>
      <c r="H20" s="19"/>
    </row>
    <row r="21" spans="1:8" x14ac:dyDescent="0.3">
      <c r="A21" s="4" t="s">
        <v>14</v>
      </c>
      <c r="B21" s="7" t="s">
        <v>12</v>
      </c>
      <c r="C21" s="5"/>
      <c r="D21" s="5"/>
      <c r="E21" s="5">
        <v>22</v>
      </c>
      <c r="F21" s="5"/>
      <c r="G21" s="5">
        <f>E21+(E21*0.2)</f>
        <v>26.4</v>
      </c>
      <c r="H21" s="22"/>
    </row>
    <row r="22" spans="1:8" x14ac:dyDescent="0.3">
      <c r="A22" s="4"/>
      <c r="B22" s="3"/>
      <c r="C22" s="5"/>
      <c r="D22" s="5"/>
      <c r="E22" s="5"/>
      <c r="F22" s="5"/>
      <c r="G22" s="5"/>
      <c r="H22" s="22"/>
    </row>
    <row r="23" spans="1:8" x14ac:dyDescent="0.3">
      <c r="A23" s="4"/>
      <c r="B23" s="3"/>
      <c r="C23" s="5"/>
      <c r="D23" s="5"/>
      <c r="E23" s="5"/>
      <c r="F23" s="5"/>
      <c r="G23" s="5"/>
      <c r="H23" s="22"/>
    </row>
    <row r="24" spans="1:8" x14ac:dyDescent="0.3">
      <c r="A24" s="19" t="s">
        <v>24</v>
      </c>
      <c r="B24" s="19"/>
      <c r="C24" s="19"/>
      <c r="D24" s="19"/>
      <c r="E24" s="19"/>
      <c r="F24" s="19"/>
      <c r="G24" s="19"/>
      <c r="H24" s="19"/>
    </row>
    <row r="25" spans="1:8" x14ac:dyDescent="0.3">
      <c r="A25" s="4" t="s">
        <v>27</v>
      </c>
      <c r="B25" s="10" t="s">
        <v>26</v>
      </c>
      <c r="C25" s="5" t="s">
        <v>25</v>
      </c>
      <c r="D25" s="5"/>
      <c r="E25" s="5">
        <v>155</v>
      </c>
      <c r="F25" s="5"/>
      <c r="G25" s="5">
        <f>E25+(E25*0.1)</f>
        <v>170.5</v>
      </c>
      <c r="H25" s="16"/>
    </row>
    <row r="26" spans="1:8" x14ac:dyDescent="0.3">
      <c r="A26" s="4" t="s">
        <v>36</v>
      </c>
      <c r="B26" s="9" t="s">
        <v>15</v>
      </c>
      <c r="C26" s="5" t="s">
        <v>35</v>
      </c>
      <c r="D26" s="5"/>
      <c r="E26" s="5">
        <v>45</v>
      </c>
      <c r="F26" s="5"/>
      <c r="G26" s="5">
        <f>E26+(E26*0.1)</f>
        <v>49.5</v>
      </c>
      <c r="H26" s="17"/>
    </row>
    <row r="27" spans="1:8" x14ac:dyDescent="0.3">
      <c r="A27" s="4"/>
      <c r="B27" s="3"/>
      <c r="C27" s="5"/>
      <c r="D27" s="5"/>
      <c r="E27" s="5"/>
      <c r="F27" s="5"/>
      <c r="G27" s="5"/>
      <c r="H27" s="18"/>
    </row>
    <row r="28" spans="1:8" x14ac:dyDescent="0.3">
      <c r="A28" s="20" t="s">
        <v>31</v>
      </c>
      <c r="B28" s="20"/>
      <c r="C28" s="20"/>
      <c r="D28" s="20"/>
      <c r="E28" s="21"/>
      <c r="F28" s="21"/>
      <c r="G28" s="21"/>
      <c r="H28" s="21"/>
    </row>
    <row r="29" spans="1:8" x14ac:dyDescent="0.3">
      <c r="A29" s="19" t="s">
        <v>32</v>
      </c>
      <c r="B29" s="19"/>
      <c r="C29" s="19"/>
      <c r="D29" s="19"/>
      <c r="E29" s="19"/>
      <c r="F29" s="19"/>
      <c r="G29" s="19"/>
      <c r="H29" s="19"/>
    </row>
    <row r="30" spans="1:8" x14ac:dyDescent="0.3">
      <c r="A30" s="4" t="s">
        <v>33</v>
      </c>
      <c r="B30" s="9" t="s">
        <v>15</v>
      </c>
      <c r="C30" s="5" t="s">
        <v>34</v>
      </c>
      <c r="D30" s="5"/>
      <c r="E30" s="5">
        <v>1864.4</v>
      </c>
      <c r="F30" s="5"/>
      <c r="G30" s="5">
        <f>E30+(E30*0.08)</f>
        <v>2013.5520000000001</v>
      </c>
      <c r="H30" s="16"/>
    </row>
    <row r="31" spans="1:8" x14ac:dyDescent="0.3">
      <c r="A31" s="4"/>
      <c r="B31" s="3"/>
      <c r="C31" s="5"/>
      <c r="D31" s="5"/>
      <c r="E31" s="5"/>
      <c r="F31" s="5"/>
      <c r="G31" s="5"/>
      <c r="H31" s="17"/>
    </row>
    <row r="32" spans="1:8" x14ac:dyDescent="0.3">
      <c r="A32" s="4"/>
      <c r="B32" s="3"/>
      <c r="C32" s="5"/>
      <c r="D32" s="5"/>
      <c r="E32" s="5"/>
      <c r="F32" s="5"/>
      <c r="G32" s="5"/>
      <c r="H32" s="18"/>
    </row>
    <row r="33" spans="1:8" x14ac:dyDescent="0.3">
      <c r="A33" s="20" t="s">
        <v>22</v>
      </c>
      <c r="B33" s="20"/>
      <c r="C33" s="20"/>
      <c r="D33" s="20"/>
      <c r="E33" s="21"/>
      <c r="F33" s="21"/>
      <c r="G33" s="21"/>
      <c r="H33" s="21"/>
    </row>
    <row r="34" spans="1:8" x14ac:dyDescent="0.3">
      <c r="A34" s="19" t="s">
        <v>16</v>
      </c>
      <c r="B34" s="19"/>
      <c r="C34" s="19"/>
      <c r="D34" s="19"/>
      <c r="E34" s="19"/>
      <c r="F34" s="19"/>
      <c r="G34" s="19"/>
      <c r="H34" s="19"/>
    </row>
    <row r="35" spans="1:8" x14ac:dyDescent="0.3">
      <c r="A35" s="4" t="s">
        <v>18</v>
      </c>
      <c r="B35" s="9" t="s">
        <v>15</v>
      </c>
      <c r="C35" s="5" t="s">
        <v>23</v>
      </c>
      <c r="D35" s="5"/>
      <c r="E35" s="5">
        <v>256</v>
      </c>
      <c r="F35" s="5"/>
      <c r="G35" s="5">
        <f>E35+(E35*0.1)</f>
        <v>281.60000000000002</v>
      </c>
      <c r="H35" s="16"/>
    </row>
    <row r="36" spans="1:8" x14ac:dyDescent="0.3">
      <c r="A36" s="4"/>
      <c r="B36" s="3"/>
      <c r="C36" s="5"/>
      <c r="D36" s="5"/>
      <c r="E36" s="5"/>
      <c r="F36" s="5"/>
      <c r="G36" s="5"/>
      <c r="H36" s="17"/>
    </row>
    <row r="37" spans="1:8" x14ac:dyDescent="0.3">
      <c r="A37" s="4"/>
      <c r="B37" s="3"/>
      <c r="C37" s="5"/>
      <c r="D37" s="5"/>
      <c r="E37" s="5"/>
      <c r="F37" s="5"/>
      <c r="G37" s="5"/>
      <c r="H37" s="17"/>
    </row>
    <row r="38" spans="1:8" x14ac:dyDescent="0.3">
      <c r="A38" s="4"/>
      <c r="B38" s="3"/>
      <c r="C38" s="5"/>
      <c r="D38" s="5"/>
      <c r="E38" s="5"/>
      <c r="F38" s="5"/>
      <c r="G38" s="5"/>
      <c r="H38" s="18"/>
    </row>
    <row r="39" spans="1:8" x14ac:dyDescent="0.3">
      <c r="A39" s="20" t="s">
        <v>37</v>
      </c>
      <c r="B39" s="20"/>
      <c r="C39" s="20"/>
      <c r="D39" s="20"/>
      <c r="E39" s="21"/>
      <c r="F39" s="21"/>
      <c r="G39" s="21"/>
      <c r="H39" s="21"/>
    </row>
    <row r="40" spans="1:8" s="12" customFormat="1" ht="60.6" customHeight="1" x14ac:dyDescent="0.3">
      <c r="A40" s="13" t="s">
        <v>38</v>
      </c>
      <c r="B40" s="14"/>
      <c r="C40" s="15" t="s">
        <v>39</v>
      </c>
      <c r="D40" s="15">
        <v>220</v>
      </c>
      <c r="E40" s="15">
        <f>D40+(D40*0.18)</f>
        <v>259.60000000000002</v>
      </c>
      <c r="F40" s="15">
        <f>E40+(E40*0.06)</f>
        <v>275.17600000000004</v>
      </c>
      <c r="G40" s="15">
        <f>E40+(E40*0.2)</f>
        <v>311.52000000000004</v>
      </c>
      <c r="H40" s="15"/>
    </row>
  </sheetData>
  <mergeCells count="19">
    <mergeCell ref="A39:H39"/>
    <mergeCell ref="A29:H29"/>
    <mergeCell ref="H30:H32"/>
    <mergeCell ref="H35:H38"/>
    <mergeCell ref="A33:H33"/>
    <mergeCell ref="A34:H34"/>
    <mergeCell ref="H16:H19"/>
    <mergeCell ref="A3:H3"/>
    <mergeCell ref="H4:H8"/>
    <mergeCell ref="A2:H2"/>
    <mergeCell ref="A14:H14"/>
    <mergeCell ref="A15:H15"/>
    <mergeCell ref="H10:H13"/>
    <mergeCell ref="A9:H9"/>
    <mergeCell ref="H25:H27"/>
    <mergeCell ref="A24:H24"/>
    <mergeCell ref="A28:H28"/>
    <mergeCell ref="A20:H20"/>
    <mergeCell ref="H21:H23"/>
  </mergeCells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GRINDERS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Mustufa Burhan</dc:creator>
  <cp:lastModifiedBy>NOOR AGENCIES</cp:lastModifiedBy>
  <dcterms:created xsi:type="dcterms:W3CDTF">2024-12-24T07:41:18Z</dcterms:created>
  <dcterms:modified xsi:type="dcterms:W3CDTF">2026-07-10T18:57:42Z</dcterms:modified>
</cp:coreProperties>
</file>