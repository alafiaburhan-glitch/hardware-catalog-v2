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11a9480d15f833/Desktop/data/"/>
    </mc:Choice>
  </mc:AlternateContent>
  <xr:revisionPtr revIDLastSave="3553" documentId="13_ncr:1_{36663E6D-7A47-4FCA-B849-7B022D243CA6}" xr6:coauthVersionLast="47" xr6:coauthVersionMax="47" xr10:uidLastSave="{B37848A8-F3EA-4CD7-94D0-4C36FBD1BD4B}"/>
  <bookViews>
    <workbookView xWindow="-108" yWindow="-108" windowWidth="23256" windowHeight="12456" firstSheet="17" activeTab="24" xr2:uid="{4ACB066B-8831-45F7-A90F-87CD314B3CEC}"/>
  </bookViews>
  <sheets>
    <sheet name="BOSCH" sheetId="15" r:id="rId1"/>
    <sheet name="CHISELS" sheetId="12" r:id="rId2"/>
    <sheet name="COVINA" sheetId="10" r:id="rId3"/>
    <sheet name="CUMI" sheetId="13" r:id="rId4"/>
    <sheet name="DONGCHENG" sheetId="21" r:id="rId5"/>
    <sheet name="GOLDEN BULLET" sheetId="3" r:id="rId6"/>
    <sheet name="HIKOKI" sheetId="5" r:id="rId7"/>
    <sheet name="HIMAX" sheetId="20" r:id="rId8"/>
    <sheet name="JOJO TOOLS" sheetId="18" r:id="rId9"/>
    <sheet name="JON BHANDARI" sheetId="2" r:id="rId10"/>
    <sheet name="KISAAN KRAFT" sheetId="25" r:id="rId11"/>
    <sheet name="MAKITA" sheetId="23" r:id="rId12"/>
    <sheet name="METSO" sheetId="22" r:id="rId13"/>
    <sheet name="NORTON" sheetId="8" r:id="rId14"/>
    <sheet name="POLYMAK" sheetId="14" r:id="rId15"/>
    <sheet name="POWERMATIC" sheetId="19" r:id="rId16"/>
    <sheet name="RAJ XTREME" sheetId="16" r:id="rId17"/>
    <sheet name="RAINBOW" sheetId="9" r:id="rId18"/>
    <sheet name="STARCKE" sheetId="24" r:id="rId19"/>
    <sheet name="STRONG ALI" sheetId="11" r:id="rId20"/>
    <sheet name="SURIE POLEX" sheetId="17" r:id="rId21"/>
    <sheet name="SWASTIK GOLD" sheetId="26" r:id="rId22"/>
    <sheet name="TUQO" sheetId="6" r:id="rId23"/>
    <sheet name="ULTRAFAST" sheetId="4" r:id="rId24"/>
    <sheet name="YURI" sheetId="7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3" l="1"/>
  <c r="C19" i="3"/>
  <c r="C30" i="4"/>
  <c r="C30" i="2"/>
  <c r="C31" i="2"/>
  <c r="E7" i="15"/>
  <c r="F7" i="15" s="1"/>
  <c r="C12" i="6"/>
  <c r="C3" i="26"/>
  <c r="E53" i="15"/>
  <c r="F53" i="15" s="1"/>
  <c r="E50" i="15"/>
  <c r="F50" i="15" s="1"/>
  <c r="E51" i="15"/>
  <c r="F51" i="15" s="1"/>
  <c r="E14" i="15"/>
  <c r="F14" i="15" s="1"/>
  <c r="E13" i="15"/>
  <c r="F13" i="15"/>
  <c r="E12" i="15"/>
  <c r="F12" i="15" s="1"/>
  <c r="E8" i="15"/>
  <c r="F8" i="15" s="1"/>
  <c r="E9" i="15"/>
  <c r="F9" i="15" s="1"/>
  <c r="D19" i="17"/>
  <c r="C3" i="18"/>
  <c r="C88" i="4"/>
  <c r="F8" i="23"/>
  <c r="C69" i="4"/>
  <c r="F7" i="23"/>
  <c r="F9" i="23"/>
  <c r="C5" i="2"/>
  <c r="E17" i="15"/>
  <c r="F17" i="15" s="1"/>
  <c r="C9" i="18"/>
  <c r="C76" i="4"/>
  <c r="C54" i="2"/>
  <c r="E22" i="15"/>
  <c r="F22" i="15" s="1"/>
  <c r="E49" i="15"/>
  <c r="F49" i="15"/>
  <c r="E44" i="15"/>
  <c r="F44" i="15" s="1"/>
  <c r="E6" i="15"/>
  <c r="F6" i="15" s="1"/>
  <c r="E10" i="15"/>
  <c r="F10" i="15"/>
  <c r="C58" i="4"/>
  <c r="C86" i="4"/>
  <c r="F5" i="23"/>
  <c r="C8" i="4"/>
  <c r="C4" i="18"/>
  <c r="E4" i="15"/>
  <c r="F4" i="15" s="1"/>
  <c r="C78" i="4"/>
  <c r="C51" i="2"/>
  <c r="C3" i="25"/>
  <c r="D12" i="13"/>
  <c r="E12" i="13" s="1"/>
  <c r="E23" i="15"/>
  <c r="F23" i="15" s="1"/>
  <c r="C72" i="4"/>
  <c r="E4" i="21"/>
  <c r="C16" i="6"/>
  <c r="C7" i="18"/>
  <c r="C8" i="18"/>
  <c r="C25" i="6"/>
  <c r="C10" i="6"/>
  <c r="C5" i="24"/>
  <c r="D5" i="24" s="1"/>
  <c r="C7" i="24"/>
  <c r="D7" i="24"/>
  <c r="C8" i="24"/>
  <c r="D8" i="24" s="1"/>
  <c r="C9" i="24"/>
  <c r="D9" i="24"/>
  <c r="C3" i="24"/>
  <c r="D3" i="24" s="1"/>
  <c r="C57" i="4"/>
  <c r="C63" i="4"/>
  <c r="C67" i="4"/>
  <c r="C66" i="4"/>
  <c r="E47" i="15"/>
  <c r="F47" i="15"/>
  <c r="E20" i="15"/>
  <c r="F20" i="15" s="1"/>
  <c r="D3" i="23"/>
  <c r="E3" i="23" s="1"/>
  <c r="F3" i="23" s="1"/>
  <c r="C65" i="4"/>
  <c r="E46" i="15"/>
  <c r="F46" i="15"/>
  <c r="C64" i="4"/>
  <c r="C60" i="4"/>
  <c r="D5" i="13"/>
  <c r="E5" i="13" s="1"/>
  <c r="D7" i="13"/>
  <c r="E7" i="13"/>
  <c r="C7" i="16"/>
  <c r="C3" i="22"/>
  <c r="E3" i="21"/>
  <c r="C3" i="20"/>
  <c r="C3" i="19"/>
  <c r="C17" i="2"/>
  <c r="E42" i="15"/>
  <c r="F42" i="15"/>
  <c r="C21" i="6"/>
  <c r="C8" i="16"/>
  <c r="C28" i="6"/>
  <c r="D5" i="9"/>
  <c r="D3" i="10"/>
  <c r="C53" i="2"/>
  <c r="C29" i="4"/>
  <c r="E18" i="15"/>
  <c r="F18" i="15" s="1"/>
  <c r="C5" i="16"/>
  <c r="C15" i="6"/>
  <c r="E16" i="15"/>
  <c r="F16" i="15"/>
  <c r="E19" i="15"/>
  <c r="F19" i="15"/>
  <c r="C8" i="6"/>
  <c r="E28" i="15"/>
  <c r="F28" i="15" s="1"/>
  <c r="C6" i="18"/>
  <c r="C5" i="18"/>
  <c r="C15" i="2"/>
  <c r="D12" i="17"/>
  <c r="D13" i="17"/>
  <c r="D14" i="17"/>
  <c r="D15" i="17"/>
  <c r="D16" i="17"/>
  <c r="D17" i="17"/>
  <c r="D11" i="17"/>
  <c r="D9" i="17"/>
  <c r="D4" i="17"/>
  <c r="D5" i="17"/>
  <c r="D6" i="17"/>
  <c r="D7" i="17"/>
  <c r="D8" i="17"/>
  <c r="D3" i="17"/>
  <c r="E35" i="15"/>
  <c r="F35" i="15" s="1"/>
  <c r="E36" i="15"/>
  <c r="F36" i="15" s="1"/>
  <c r="E37" i="15"/>
  <c r="F37" i="15"/>
  <c r="E38" i="15"/>
  <c r="F38" i="15"/>
  <c r="E39" i="15"/>
  <c r="F39" i="15" s="1"/>
  <c r="E40" i="15"/>
  <c r="F40" i="15" s="1"/>
  <c r="C3" i="16"/>
  <c r="C13" i="6"/>
  <c r="C14" i="6"/>
  <c r="E25" i="15"/>
  <c r="F25" i="15" s="1"/>
  <c r="E26" i="15"/>
  <c r="F26" i="15" s="1"/>
  <c r="E27" i="15"/>
  <c r="F27" i="15"/>
  <c r="E29" i="15"/>
  <c r="F29" i="15"/>
  <c r="E30" i="15"/>
  <c r="F30" i="15"/>
  <c r="E31" i="15"/>
  <c r="F31" i="15"/>
  <c r="E32" i="15"/>
  <c r="F32" i="15"/>
  <c r="E33" i="15"/>
  <c r="F33" i="15"/>
  <c r="E3" i="15"/>
  <c r="F3" i="15"/>
  <c r="C22" i="6"/>
  <c r="C80" i="4"/>
  <c r="C74" i="4"/>
  <c r="C50" i="2"/>
  <c r="C28" i="2"/>
  <c r="C73" i="4"/>
  <c r="C16" i="4"/>
  <c r="C36" i="6"/>
  <c r="C31" i="6"/>
  <c r="D5" i="14"/>
  <c r="E5" i="14" s="1"/>
  <c r="D3" i="14"/>
  <c r="E3" i="14" s="1"/>
  <c r="D15" i="13"/>
  <c r="E15" i="13"/>
  <c r="D13" i="13"/>
  <c r="E13" i="13"/>
  <c r="C14" i="4"/>
  <c r="C15" i="4"/>
  <c r="C13" i="4"/>
  <c r="C34" i="4"/>
  <c r="C33" i="4"/>
  <c r="C11" i="6"/>
  <c r="C53" i="4"/>
  <c r="C52" i="4"/>
  <c r="C17" i="3"/>
  <c r="C12" i="2"/>
  <c r="C24" i="2"/>
  <c r="C4" i="6"/>
  <c r="C34" i="6"/>
  <c r="C33" i="6"/>
  <c r="C27" i="6"/>
  <c r="D6" i="13"/>
  <c r="E6" i="13"/>
  <c r="D9" i="13"/>
  <c r="E9" i="13" s="1"/>
  <c r="D4" i="13"/>
  <c r="E4" i="13" s="1"/>
  <c r="C82" i="4"/>
  <c r="C83" i="4"/>
  <c r="C84" i="4"/>
  <c r="C81" i="4"/>
  <c r="C23" i="4"/>
  <c r="C71" i="4"/>
  <c r="C75" i="4"/>
  <c r="C77" i="4"/>
  <c r="C70" i="4"/>
  <c r="C32" i="2"/>
  <c r="C62" i="4"/>
  <c r="C55" i="4"/>
  <c r="C56" i="4"/>
  <c r="C59" i="4"/>
  <c r="C61" i="4"/>
  <c r="C9" i="3"/>
  <c r="C3" i="12"/>
  <c r="C4" i="12"/>
  <c r="C9" i="12"/>
  <c r="C10" i="12"/>
  <c r="C12" i="12"/>
  <c r="C13" i="12"/>
  <c r="C36" i="4"/>
  <c r="C30" i="6"/>
  <c r="C26" i="6"/>
  <c r="C24" i="6"/>
  <c r="C19" i="6"/>
  <c r="C7" i="4"/>
  <c r="C3" i="4"/>
  <c r="C51" i="4"/>
  <c r="C6" i="2"/>
  <c r="C20" i="6"/>
  <c r="C18" i="6"/>
  <c r="C37" i="4"/>
  <c r="C5" i="11"/>
  <c r="D3" i="9"/>
  <c r="C7" i="6"/>
  <c r="C49" i="4"/>
  <c r="C47" i="4"/>
  <c r="C46" i="4"/>
  <c r="C48" i="2"/>
  <c r="C44" i="4"/>
  <c r="C40" i="4"/>
  <c r="C46" i="2"/>
  <c r="C45" i="2"/>
  <c r="E5" i="8"/>
  <c r="F5" i="8" s="1"/>
  <c r="E4" i="8"/>
  <c r="F4" i="8"/>
  <c r="D29" i="8"/>
  <c r="E29" i="8"/>
  <c r="F29" i="8" s="1"/>
  <c r="D30" i="8"/>
  <c r="E30" i="8"/>
  <c r="F30" i="8" s="1"/>
  <c r="D31" i="8"/>
  <c r="E31" i="8"/>
  <c r="F31" i="8" s="1"/>
  <c r="D34" i="8"/>
  <c r="E34" i="8"/>
  <c r="F34" i="8" s="1"/>
  <c r="D35" i="8"/>
  <c r="E35" i="8"/>
  <c r="F35" i="8" s="1"/>
  <c r="D36" i="8"/>
  <c r="E36" i="8"/>
  <c r="F36" i="8" s="1"/>
  <c r="D39" i="8"/>
  <c r="E39" i="8"/>
  <c r="F39" i="8" s="1"/>
  <c r="D40" i="8"/>
  <c r="E40" i="8"/>
  <c r="F40" i="8" s="1"/>
  <c r="D41" i="8"/>
  <c r="E41" i="8"/>
  <c r="F41" i="8" s="1"/>
  <c r="D42" i="8"/>
  <c r="E42" i="8"/>
  <c r="F42" i="8" s="1"/>
  <c r="D43" i="8"/>
  <c r="E43" i="8" s="1"/>
  <c r="F43" i="8" s="1"/>
  <c r="D8" i="8"/>
  <c r="E8" i="8" s="1"/>
  <c r="F8" i="8" s="1"/>
  <c r="D10" i="8"/>
  <c r="E10" i="8" s="1"/>
  <c r="F10" i="8" s="1"/>
  <c r="D11" i="8"/>
  <c r="E11" i="8" s="1"/>
  <c r="F11" i="8" s="1"/>
  <c r="D13" i="8"/>
  <c r="E13" i="8" s="1"/>
  <c r="F13" i="8" s="1"/>
  <c r="D14" i="8"/>
  <c r="E14" i="8" s="1"/>
  <c r="F14" i="8" s="1"/>
  <c r="D15" i="8"/>
  <c r="E15" i="8" s="1"/>
  <c r="F15" i="8" s="1"/>
  <c r="D16" i="8"/>
  <c r="E16" i="8" s="1"/>
  <c r="F16" i="8" s="1"/>
  <c r="D17" i="8"/>
  <c r="E17" i="8" s="1"/>
  <c r="F17" i="8" s="1"/>
  <c r="D18" i="8"/>
  <c r="E18" i="8" s="1"/>
  <c r="F18" i="8" s="1"/>
  <c r="D19" i="8"/>
  <c r="E19" i="8" s="1"/>
  <c r="F19" i="8" s="1"/>
  <c r="D20" i="8"/>
  <c r="E20" i="8" s="1"/>
  <c r="F20" i="8" s="1"/>
  <c r="D21" i="8"/>
  <c r="E21" i="8" s="1"/>
  <c r="F21" i="8" s="1"/>
  <c r="D22" i="8"/>
  <c r="E22" i="8" s="1"/>
  <c r="F22" i="8" s="1"/>
  <c r="D24" i="8"/>
  <c r="E24" i="8" s="1"/>
  <c r="F24" i="8" s="1"/>
  <c r="D25" i="8"/>
  <c r="E25" i="8" s="1"/>
  <c r="F25" i="8" s="1"/>
  <c r="D27" i="8"/>
  <c r="E27" i="8" s="1"/>
  <c r="F27" i="8" s="1"/>
  <c r="D7" i="8"/>
  <c r="E7" i="8" s="1"/>
  <c r="F7" i="8" s="1"/>
  <c r="C42" i="4"/>
  <c r="C38" i="2"/>
  <c r="C39" i="2"/>
  <c r="C40" i="2"/>
  <c r="C41" i="2"/>
  <c r="C42" i="2"/>
  <c r="C43" i="2"/>
  <c r="C37" i="2"/>
  <c r="C20" i="2"/>
  <c r="C10" i="2"/>
  <c r="C14" i="2"/>
  <c r="C4" i="4"/>
  <c r="C39" i="4"/>
  <c r="C26" i="4"/>
  <c r="C32" i="4"/>
  <c r="C28" i="4"/>
  <c r="C6" i="3"/>
  <c r="C4" i="3"/>
  <c r="C25" i="4"/>
  <c r="C18" i="4"/>
  <c r="C21" i="4"/>
  <c r="C20" i="4"/>
  <c r="C26" i="2"/>
  <c r="C13" i="2"/>
  <c r="C9" i="6"/>
  <c r="C5" i="6"/>
  <c r="C6" i="6"/>
  <c r="C3" i="6"/>
  <c r="C6" i="5"/>
  <c r="D6" i="5" s="1"/>
  <c r="C5" i="5"/>
  <c r="D5" i="5" s="1"/>
  <c r="C3" i="5"/>
  <c r="D3" i="5" s="1"/>
  <c r="C10" i="4"/>
  <c r="C25" i="2"/>
  <c r="C22" i="2"/>
  <c r="C7" i="2"/>
  <c r="C4" i="2"/>
  <c r="C35" i="2"/>
  <c r="C12" i="4"/>
  <c r="C6" i="4"/>
  <c r="C13" i="3"/>
  <c r="C14" i="3"/>
  <c r="C15" i="3"/>
  <c r="C12" i="3"/>
  <c r="C34" i="2"/>
  <c r="C9" i="2"/>
</calcChain>
</file>

<file path=xl/sharedStrings.xml><?xml version="1.0" encoding="utf-8"?>
<sst xmlns="http://schemas.openxmlformats.org/spreadsheetml/2006/main" count="514" uniqueCount="373">
  <si>
    <t>ITEM DESCRIPTION</t>
  </si>
  <si>
    <t>COST</t>
  </si>
  <si>
    <t>MARGIN</t>
  </si>
  <si>
    <t>PRICE</t>
  </si>
  <si>
    <t>CUT OFF WHEELS</t>
  </si>
  <si>
    <t xml:space="preserve">GURU SERIES </t>
  </si>
  <si>
    <t>4" 100X1X16  (BROWN/GREEN)</t>
  </si>
  <si>
    <t>FLAP DISCS</t>
  </si>
  <si>
    <t>CUT OFF WHEEL</t>
  </si>
  <si>
    <t>4" 107X1X16</t>
  </si>
  <si>
    <r>
      <t xml:space="preserve">GOLDEN BULLET </t>
    </r>
    <r>
      <rPr>
        <b/>
        <u/>
        <sz val="11"/>
        <color theme="1"/>
        <rFont val="Calibri"/>
        <family val="2"/>
        <scheme val="minor"/>
      </rPr>
      <t>EASY CUT</t>
    </r>
    <r>
      <rPr>
        <b/>
        <sz val="11"/>
        <color theme="1"/>
        <rFont val="Calibri"/>
        <family val="2"/>
        <scheme val="minor"/>
      </rPr>
      <t xml:space="preserve"> SERIES DOUBLE NET(BROWN)</t>
    </r>
  </si>
  <si>
    <r>
      <rPr>
        <b/>
        <u/>
        <sz val="11"/>
        <color theme="1"/>
        <rFont val="Calibri"/>
        <family val="2"/>
        <scheme val="minor"/>
      </rPr>
      <t>SILVER BULLET</t>
    </r>
    <r>
      <rPr>
        <b/>
        <sz val="11"/>
        <color theme="1"/>
        <rFont val="Calibri"/>
        <family val="2"/>
        <scheme val="minor"/>
      </rPr>
      <t xml:space="preserve"> SERIES DOUBLE NET(GREEN)</t>
    </r>
  </si>
  <si>
    <t>TCT BLADE FOR WOOD</t>
  </si>
  <si>
    <t>SUPERB SERIES</t>
  </si>
  <si>
    <r>
      <t>4" 110mmx</t>
    </r>
    <r>
      <rPr>
        <b/>
        <sz val="11"/>
        <color theme="1"/>
        <rFont val="Calibri"/>
        <family val="2"/>
        <scheme val="minor"/>
      </rPr>
      <t>30T</t>
    </r>
    <r>
      <rPr>
        <sz val="11"/>
        <color theme="1"/>
        <rFont val="Calibri"/>
        <family val="2"/>
        <scheme val="minor"/>
      </rPr>
      <t>x2.2mm</t>
    </r>
  </si>
  <si>
    <r>
      <t>4" 110mmx</t>
    </r>
    <r>
      <rPr>
        <b/>
        <sz val="11"/>
        <color theme="1"/>
        <rFont val="Calibri"/>
        <family val="2"/>
        <scheme val="minor"/>
      </rPr>
      <t>40T</t>
    </r>
    <r>
      <rPr>
        <sz val="11"/>
        <color theme="1"/>
        <rFont val="Calibri"/>
        <family val="2"/>
        <scheme val="minor"/>
      </rPr>
      <t>x2.2mm</t>
    </r>
  </si>
  <si>
    <r>
      <t>5" 125mmx</t>
    </r>
    <r>
      <rPr>
        <b/>
        <sz val="11"/>
        <color theme="1"/>
        <rFont val="Calibri"/>
        <family val="2"/>
        <scheme val="minor"/>
      </rPr>
      <t>30T</t>
    </r>
    <r>
      <rPr>
        <sz val="11"/>
        <color theme="1"/>
        <rFont val="Calibri"/>
        <family val="2"/>
        <scheme val="minor"/>
      </rPr>
      <t>x2.2mm</t>
    </r>
  </si>
  <si>
    <r>
      <t>5" 125mmx</t>
    </r>
    <r>
      <rPr>
        <b/>
        <sz val="11"/>
        <color theme="1"/>
        <rFont val="Calibri"/>
        <family val="2"/>
        <scheme val="minor"/>
      </rPr>
      <t>40T</t>
    </r>
    <r>
      <rPr>
        <sz val="11"/>
        <color theme="1"/>
        <rFont val="Calibri"/>
        <family val="2"/>
        <scheme val="minor"/>
      </rPr>
      <t>x2.2mm</t>
    </r>
  </si>
  <si>
    <t>GRINDING WHEEL</t>
  </si>
  <si>
    <t>HOLE SAW 2 1/2" 65MM</t>
  </si>
  <si>
    <t>4" GRIT 36 60 80 120</t>
  </si>
  <si>
    <t>5" GRIT 60 80</t>
  </si>
  <si>
    <t>CLASSIC SERIES</t>
  </si>
  <si>
    <t>14" CUT OFF WHEEL (BROWN)</t>
  </si>
  <si>
    <t>GRINDING WHEELS</t>
  </si>
  <si>
    <t>4" GRINDING WHEEL</t>
  </si>
  <si>
    <t>5" GRINDING WHEEL</t>
  </si>
  <si>
    <t>ABRASIVE SERIES</t>
  </si>
  <si>
    <t>14" BLACK 2.8MM PREMIUM</t>
  </si>
  <si>
    <t>TCT BLADE</t>
  </si>
  <si>
    <t>4" 110X1.5X20X40P</t>
  </si>
  <si>
    <t>5" 125X1.5X20X40P</t>
  </si>
  <si>
    <r>
      <t xml:space="preserve">PRESSURE WASHER GUN </t>
    </r>
    <r>
      <rPr>
        <b/>
        <sz val="11"/>
        <color theme="1"/>
        <rFont val="Calibri"/>
        <family val="2"/>
        <scheme val="minor"/>
      </rPr>
      <t>HG12</t>
    </r>
  </si>
  <si>
    <t>7" GRINDING WHEEL</t>
  </si>
  <si>
    <t>BI METAL 12"X24T</t>
  </si>
  <si>
    <t xml:space="preserve">HACK SAW BLADE </t>
  </si>
  <si>
    <t>MARBLE CUTTING BLADES</t>
  </si>
  <si>
    <t>4" SEGMENTEDX10T</t>
  </si>
  <si>
    <t>5" SEGMENTEDX10T</t>
  </si>
  <si>
    <t>3" CUP BLADE CONT/SEG/TURBO</t>
  </si>
  <si>
    <t>GRINDING DIAMOND CUP WHEEL</t>
  </si>
  <si>
    <t xml:space="preserve">CONCRETE CUTTER </t>
  </si>
  <si>
    <t>4" CONCRETE TURBO (BLK)</t>
  </si>
  <si>
    <t xml:space="preserve">CUT OFF WHEEL </t>
  </si>
  <si>
    <t>14" CUT OFF WHEEL BROWN</t>
  </si>
  <si>
    <t>7"X3MM CUT OFF WHEEL</t>
  </si>
  <si>
    <t>7"X1.6MM CUT OFF WHEEL</t>
  </si>
  <si>
    <t>GO GREEN SERIES</t>
  </si>
  <si>
    <t>CUT OFF WHEEL 4"  107X1X16mm</t>
  </si>
  <si>
    <t>5" CUT OFF WHEEL (BROWN)</t>
  </si>
  <si>
    <t>4"X6MM GRINDING WHEEL</t>
  </si>
  <si>
    <t>GRINDER PAD 0</t>
  </si>
  <si>
    <t>GRINDER PAD 1</t>
  </si>
  <si>
    <t>GRINDER PAD 2</t>
  </si>
  <si>
    <t>GRINDER PAD 3</t>
  </si>
  <si>
    <t>GRINDER PAD 4</t>
  </si>
  <si>
    <t>GRINDER PAD 5</t>
  </si>
  <si>
    <t>GRINDER PAD 6</t>
  </si>
  <si>
    <t>POLISH PAD FOR GRANITE/MARBLE</t>
  </si>
  <si>
    <t>4"X6 GRINDING WHEEL BLK</t>
  </si>
  <si>
    <t>FLEXIBLE CUTTING WHEEL WA60</t>
  </si>
  <si>
    <t>GRIT</t>
  </si>
  <si>
    <t>GST</t>
  </si>
  <si>
    <t>FIBER DISCS</t>
  </si>
  <si>
    <t>FIBER DISC 4" (100X16)</t>
  </si>
  <si>
    <t>FIBER DISC 5" (125X22.23)</t>
  </si>
  <si>
    <t>FIBER DISC 7" (180X22.23)</t>
  </si>
  <si>
    <t>ALKON SERIES</t>
  </si>
  <si>
    <t>DISC</t>
  </si>
  <si>
    <t>-</t>
  </si>
  <si>
    <t>ZIRCON SERIES</t>
  </si>
  <si>
    <t>NORZON SERIES</t>
  </si>
  <si>
    <t>FIBER DISC 5" (125X22)</t>
  </si>
  <si>
    <t>QTY/BOX</t>
  </si>
  <si>
    <t>RAINBOW 2000 MARBLE/GRANITE CUTTER</t>
  </si>
  <si>
    <t>MARBLE/GRANITE CUTTER 4" G+</t>
  </si>
  <si>
    <t xml:space="preserve">COST </t>
  </si>
  <si>
    <t>QTY</t>
  </si>
  <si>
    <t>MARBLE / GRANITE CUTTER</t>
  </si>
  <si>
    <t>BACKUP PAD FOR FIBER DISC</t>
  </si>
  <si>
    <t>BACKUP PAD FOR VELCRO DISC</t>
  </si>
  <si>
    <t>BACKUP PADS</t>
  </si>
  <si>
    <t>5" CONCRETE TURBO (BLK)</t>
  </si>
  <si>
    <t>PVC PIPE CUTTER 38MM</t>
  </si>
  <si>
    <t xml:space="preserve">PVC PIPE CUTTER </t>
  </si>
  <si>
    <t>STEP DRILL</t>
  </si>
  <si>
    <t>STEP DRILL 4-32</t>
  </si>
  <si>
    <t>POLISHING WHEELS</t>
  </si>
  <si>
    <t>SS POLISHING WHEEL RED 4"</t>
  </si>
  <si>
    <t>FELT POLISH WHEEL WHITE 4"</t>
  </si>
  <si>
    <t>SDS ADAPTER</t>
  </si>
  <si>
    <t>SDS ADAPTER 1/2" 20UNF</t>
  </si>
  <si>
    <t>PRESSURE WASHER OUTLET HOSE</t>
  </si>
  <si>
    <t>PRESSURE WASHER OUTLET HOSE 8M</t>
  </si>
  <si>
    <t>PRESSURE WASHER OUTLET HOSE 10M</t>
  </si>
  <si>
    <t>PRESSURE WASHER OUTLET HOSE 12M</t>
  </si>
  <si>
    <t>PRESSURE WASHER OUTLET HOSE 15M</t>
  </si>
  <si>
    <t>VELCRO DISC</t>
  </si>
  <si>
    <t>7" GRIT 60</t>
  </si>
  <si>
    <r>
      <t xml:space="preserve">OUTLET HOSE 7M </t>
    </r>
    <r>
      <rPr>
        <b/>
        <sz val="11"/>
        <color theme="1"/>
        <rFont val="Calibri"/>
        <family val="2"/>
        <scheme val="minor"/>
      </rPr>
      <t>AW06</t>
    </r>
  </si>
  <si>
    <r>
      <t xml:space="preserve">OUTLET HOSE 15M </t>
    </r>
    <r>
      <rPr>
        <b/>
        <sz val="11"/>
        <color theme="1"/>
        <rFont val="Calibri"/>
        <family val="2"/>
        <scheme val="minor"/>
      </rPr>
      <t>AW10</t>
    </r>
  </si>
  <si>
    <t>DISCO BIT</t>
  </si>
  <si>
    <t>5" CUT OFF WHEEL GREEN</t>
  </si>
  <si>
    <t>5"X6 GRINDING WHEEL BLK</t>
  </si>
  <si>
    <r>
      <t xml:space="preserve">OUTLET HOSE 10M </t>
    </r>
    <r>
      <rPr>
        <b/>
        <sz val="11"/>
        <color theme="1"/>
        <rFont val="Calibri"/>
        <family val="2"/>
        <scheme val="minor"/>
      </rPr>
      <t>AW09</t>
    </r>
  </si>
  <si>
    <t>TUQO WASHER FLUIDS</t>
  </si>
  <si>
    <r>
      <t xml:space="preserve">NOZZLE SET </t>
    </r>
    <r>
      <rPr>
        <b/>
        <sz val="11"/>
        <color theme="1"/>
        <rFont val="Calibri"/>
        <family val="2"/>
        <scheme val="minor"/>
      </rPr>
      <t>6PC</t>
    </r>
    <r>
      <rPr>
        <sz val="11"/>
        <color theme="1"/>
        <rFont val="Calibri"/>
        <family val="2"/>
        <scheme val="minor"/>
      </rPr>
      <t>(0,15,25,40,1SOAP,1PLANT)</t>
    </r>
  </si>
  <si>
    <r>
      <t xml:space="preserve">TUQO SCRUBBER BRUSH 4PC </t>
    </r>
    <r>
      <rPr>
        <b/>
        <sz val="11"/>
        <color theme="1"/>
        <rFont val="Calibri"/>
        <family val="2"/>
        <scheme val="minor"/>
      </rPr>
      <t>SB20</t>
    </r>
  </si>
  <si>
    <t>5" GRIT</t>
  </si>
  <si>
    <t>30X600 FLAT</t>
  </si>
  <si>
    <t>30X600 POINT</t>
  </si>
  <si>
    <t xml:space="preserve">30X410 FLAT </t>
  </si>
  <si>
    <t>30X410 POINT</t>
  </si>
  <si>
    <t>PH 65 BREAKER CHISEL</t>
  </si>
  <si>
    <t>18X600 FLAT</t>
  </si>
  <si>
    <t>18X600 POINT</t>
  </si>
  <si>
    <t xml:space="preserve">18X400 FLAT </t>
  </si>
  <si>
    <t>18X400 POINT</t>
  </si>
  <si>
    <t>11E BREAKER CHISEL</t>
  </si>
  <si>
    <t xml:space="preserve">17X400 FLAT </t>
  </si>
  <si>
    <t>17X400 POINT</t>
  </si>
  <si>
    <t>17X280 FLAT</t>
  </si>
  <si>
    <t>17X280 POINT</t>
  </si>
  <si>
    <t>5KG/7KG BREAKER CHISEL</t>
  </si>
  <si>
    <t>14X250 FLAT 50MM</t>
  </si>
  <si>
    <t>14X250 FLAT 20MM</t>
  </si>
  <si>
    <t>14X250 PIONT</t>
  </si>
  <si>
    <t>2-26 ROTARY HAMMER CHISEL</t>
  </si>
  <si>
    <r>
      <t xml:space="preserve">GOLDEN BULLET </t>
    </r>
    <r>
      <rPr>
        <b/>
        <u/>
        <sz val="11"/>
        <color theme="1"/>
        <rFont val="Calibri"/>
        <family val="2"/>
        <scheme val="minor"/>
      </rPr>
      <t>CLASSIC</t>
    </r>
    <r>
      <rPr>
        <b/>
        <sz val="11"/>
        <color theme="1"/>
        <rFont val="Calibri"/>
        <family val="2"/>
        <scheme val="minor"/>
      </rPr>
      <t xml:space="preserve"> SERIES DOUBLE NET(BLACK/GREEN)</t>
    </r>
  </si>
  <si>
    <t>5"  125X1</t>
  </si>
  <si>
    <t>TCT HOLE SAW 12MM</t>
  </si>
  <si>
    <t>TCT HOLE SAW 16MM</t>
  </si>
  <si>
    <t>TCT HOLE SAW 20MM</t>
  </si>
  <si>
    <t>TCT HOLE SAW 25MM</t>
  </si>
  <si>
    <t>TCT HOLE SAW 10/MM (APPROX RETAIL SALES)</t>
  </si>
  <si>
    <t>TCT HOLE SAW 32MM</t>
  </si>
  <si>
    <t>TCT BLADES</t>
  </si>
  <si>
    <t>5"X40 TCT BLADE</t>
  </si>
  <si>
    <t>HEX SOCKETS 1/2"DR</t>
  </si>
  <si>
    <t>TILES CUTTING BLADES</t>
  </si>
  <si>
    <t>4" ZERO CHIPPING X8T SEGMENTED</t>
  </si>
  <si>
    <t>HSS DRILL GOLD/BLACK</t>
  </si>
  <si>
    <t>HSS DRILL 5MM</t>
  </si>
  <si>
    <t>HSS DRILL 6MM</t>
  </si>
  <si>
    <t>HSS DRILL 8MM</t>
  </si>
  <si>
    <t>HSS DRILL 10MM</t>
  </si>
  <si>
    <t>CUMI ABRASIVES</t>
  </si>
  <si>
    <t>CUT OFF WHEEL 4" BRN ULTRA THIN</t>
  </si>
  <si>
    <t>QTY/CASE</t>
  </si>
  <si>
    <t>CUT OFF WHEEL 14"X3MM GREEN</t>
  </si>
  <si>
    <t>SAMURAI</t>
  </si>
  <si>
    <t>CUT OFF WHEEL 14"X2.8 BLK</t>
  </si>
  <si>
    <r>
      <t xml:space="preserve">TUQO XTREME FOAM </t>
    </r>
    <r>
      <rPr>
        <b/>
        <sz val="11"/>
        <color theme="1"/>
        <rFont val="Calibri"/>
        <family val="2"/>
        <scheme val="minor"/>
      </rPr>
      <t>CWS04</t>
    </r>
    <r>
      <rPr>
        <sz val="11"/>
        <color theme="1"/>
        <rFont val="Calibri"/>
        <family val="2"/>
        <scheme val="minor"/>
      </rPr>
      <t xml:space="preserve"> 500ML</t>
    </r>
  </si>
  <si>
    <r>
      <t xml:space="preserve">TUQO PREMIUM SHAMPOO </t>
    </r>
    <r>
      <rPr>
        <b/>
        <sz val="11"/>
        <color theme="1"/>
        <rFont val="Calibri"/>
        <family val="2"/>
        <scheme val="minor"/>
      </rPr>
      <t>CWS22</t>
    </r>
    <r>
      <rPr>
        <sz val="11"/>
        <color theme="1"/>
        <rFont val="Calibri"/>
        <family val="2"/>
        <scheme val="minor"/>
      </rPr>
      <t xml:space="preserve"> 200ML</t>
    </r>
  </si>
  <si>
    <r>
      <t xml:space="preserve">NOZZLE SET </t>
    </r>
    <r>
      <rPr>
        <b/>
        <sz val="11"/>
        <color theme="1"/>
        <rFont val="Calibri"/>
        <family val="2"/>
        <scheme val="minor"/>
      </rPr>
      <t>4PC</t>
    </r>
    <r>
      <rPr>
        <sz val="11"/>
        <color theme="1"/>
        <rFont val="Calibri"/>
        <family val="2"/>
        <scheme val="minor"/>
      </rPr>
      <t xml:space="preserve">(0,15,25,40) </t>
    </r>
    <r>
      <rPr>
        <b/>
        <sz val="11"/>
        <color theme="1"/>
        <rFont val="Calibri"/>
        <family val="2"/>
        <scheme val="minor"/>
      </rPr>
      <t>DS102-065</t>
    </r>
  </si>
  <si>
    <r>
      <t xml:space="preserve">PRESSURE WASHER FOAM LANCE </t>
    </r>
    <r>
      <rPr>
        <b/>
        <sz val="11"/>
        <color theme="1"/>
        <rFont val="Calibri"/>
        <family val="2"/>
        <scheme val="minor"/>
      </rPr>
      <t>TFL302</t>
    </r>
  </si>
  <si>
    <r>
      <t xml:space="preserve">FOAM CAN FOR GUN </t>
    </r>
    <r>
      <rPr>
        <b/>
        <sz val="11"/>
        <color theme="1"/>
        <rFont val="Calibri"/>
        <family val="2"/>
        <scheme val="minor"/>
      </rPr>
      <t>TFL100</t>
    </r>
  </si>
  <si>
    <r>
      <t xml:space="preserve">EXTENSION ROD 250mm </t>
    </r>
    <r>
      <rPr>
        <b/>
        <sz val="11"/>
        <color theme="1"/>
        <rFont val="Calibri"/>
        <family val="2"/>
        <scheme val="minor"/>
      </rPr>
      <t>VS13</t>
    </r>
  </si>
  <si>
    <t>4"X1MM CUT OFF WHEEL</t>
  </si>
  <si>
    <t>PLANER BLADE FOR WOOD</t>
  </si>
  <si>
    <t>PLANER BLADE 330X30X3MM</t>
  </si>
  <si>
    <t xml:space="preserve">NUT BIT 8MM X 50MM SHORT </t>
  </si>
  <si>
    <t>STAR BIT / NUT BIT</t>
  </si>
  <si>
    <t>NUT BIT 8MM X 65MM LONG</t>
  </si>
  <si>
    <t>`</t>
  </si>
  <si>
    <t>FIBER DISC &amp; ACCESSORIES</t>
  </si>
  <si>
    <t>FIBER DISC ADAPTOR 5"</t>
  </si>
  <si>
    <t>PAD NUT FOR AG4</t>
  </si>
  <si>
    <t>DEEP HOLE SAW / SET</t>
  </si>
  <si>
    <t>6PC HOLE SAW SET</t>
  </si>
  <si>
    <t>11PC HOLE SAW SET TILL 2.5"</t>
  </si>
  <si>
    <t>12PC HOLE SAW SET TILL 3"</t>
  </si>
  <si>
    <t xml:space="preserve">ZIRCON ZING </t>
  </si>
  <si>
    <t>4" X G60</t>
  </si>
  <si>
    <t>10/100</t>
  </si>
  <si>
    <t>ABRASIVE PAD SCOTCH BRITE</t>
  </si>
  <si>
    <r>
      <t xml:space="preserve">CUMI CX 01   </t>
    </r>
    <r>
      <rPr>
        <b/>
        <sz val="11"/>
        <color theme="1"/>
        <rFont val="Calibri"/>
        <family val="2"/>
        <scheme val="minor"/>
      </rPr>
      <t>152X229 MM</t>
    </r>
  </si>
  <si>
    <t>5/100</t>
  </si>
  <si>
    <t>QTY/PACK</t>
  </si>
  <si>
    <t>4" G60</t>
  </si>
  <si>
    <t>NON WOVEN POLISHING WHEEL</t>
  </si>
  <si>
    <t>NON WOVEN WHEEL 4" U3 BROWN</t>
  </si>
  <si>
    <t>PRESSURE WASHER GUN ACCESSORIES</t>
  </si>
  <si>
    <t>TUQO BRUSHES</t>
  </si>
  <si>
    <t xml:space="preserve">TUQO FOAM LANCE </t>
  </si>
  <si>
    <r>
      <t xml:space="preserve">TUQO CAR DETAILING BRUSH SET </t>
    </r>
    <r>
      <rPr>
        <b/>
        <sz val="11"/>
        <color theme="1"/>
        <rFont val="Calibri"/>
        <family val="2"/>
        <scheme val="minor"/>
      </rPr>
      <t>TQ490</t>
    </r>
  </si>
  <si>
    <r>
      <t xml:space="preserve">TUQO MICRO FIBER CLOTH 340GSM 40X40CM </t>
    </r>
    <r>
      <rPr>
        <b/>
        <sz val="11"/>
        <color theme="1"/>
        <rFont val="Calibri"/>
        <family val="2"/>
        <scheme val="minor"/>
      </rPr>
      <t>TQ410</t>
    </r>
  </si>
  <si>
    <t xml:space="preserve">TUQO MICROFIBER CLOTH </t>
  </si>
  <si>
    <t>16PC HOLE SAW SET TILL 5"</t>
  </si>
  <si>
    <t>4"X2.5 GRINDING WHEEL GREEN G60</t>
  </si>
  <si>
    <t>GRINDING WHEEL GC for tile polishing</t>
  </si>
  <si>
    <t>GRINDING WHEELS GC</t>
  </si>
  <si>
    <t>4"x2.5 G46</t>
  </si>
  <si>
    <t>NUT BIT</t>
  </si>
  <si>
    <t>NUT BIT 8MMX50MM</t>
  </si>
  <si>
    <t>GRIT 36,60,80,100,180 5"</t>
  </si>
  <si>
    <t>HSS DRILL 4.5MM</t>
  </si>
  <si>
    <t>JIGSAW BLADES</t>
  </si>
  <si>
    <t>ITEMS DESCRIPTION</t>
  </si>
  <si>
    <t>VELCRO DISC 5" YELLOW</t>
  </si>
  <si>
    <r>
      <t>VELCRO DISC 5"X</t>
    </r>
    <r>
      <rPr>
        <b/>
        <sz val="11"/>
        <color theme="1"/>
        <rFont val="Calibri"/>
        <family val="2"/>
        <scheme val="minor"/>
      </rPr>
      <t>60G</t>
    </r>
  </si>
  <si>
    <r>
      <t>VELCRO DISC 5"X</t>
    </r>
    <r>
      <rPr>
        <b/>
        <sz val="11"/>
        <color theme="1"/>
        <rFont val="Calibri"/>
        <family val="2"/>
        <scheme val="minor"/>
      </rPr>
      <t>80G</t>
    </r>
  </si>
  <si>
    <r>
      <t>VELCRO DISC 5"X</t>
    </r>
    <r>
      <rPr>
        <b/>
        <sz val="11"/>
        <color theme="1"/>
        <rFont val="Calibri"/>
        <family val="2"/>
        <scheme val="minor"/>
      </rPr>
      <t>120G</t>
    </r>
  </si>
  <si>
    <r>
      <t>VELCRO DISC 5"X</t>
    </r>
    <r>
      <rPr>
        <b/>
        <sz val="11"/>
        <color theme="1"/>
        <rFont val="Calibri"/>
        <family val="2"/>
        <scheme val="minor"/>
      </rPr>
      <t>220G</t>
    </r>
  </si>
  <si>
    <r>
      <t>VELCRO DISC 5"X</t>
    </r>
    <r>
      <rPr>
        <b/>
        <sz val="11"/>
        <color theme="1"/>
        <rFont val="Calibri"/>
        <family val="2"/>
        <scheme val="minor"/>
      </rPr>
      <t>320G</t>
    </r>
  </si>
  <si>
    <r>
      <t>VELCRO DISC 5"X</t>
    </r>
    <r>
      <rPr>
        <b/>
        <sz val="11"/>
        <color theme="1"/>
        <rFont val="Calibri"/>
        <family val="2"/>
        <scheme val="minor"/>
      </rPr>
      <t>400G</t>
    </r>
  </si>
  <si>
    <r>
      <t>VELCRO DISC 5"X</t>
    </r>
    <r>
      <rPr>
        <b/>
        <sz val="11"/>
        <color theme="1"/>
        <rFont val="Calibri"/>
        <family val="2"/>
        <scheme val="minor"/>
      </rPr>
      <t>500G</t>
    </r>
  </si>
  <si>
    <r>
      <t>VELCRO DISC 5"X</t>
    </r>
    <r>
      <rPr>
        <b/>
        <sz val="11"/>
        <color theme="1"/>
        <rFont val="Calibri"/>
        <family val="2"/>
        <scheme val="minor"/>
      </rPr>
      <t>600G</t>
    </r>
  </si>
  <si>
    <r>
      <t xml:space="preserve">DRAIN SEWER CLEANER NOZZLE </t>
    </r>
    <r>
      <rPr>
        <b/>
        <sz val="11"/>
        <color theme="1"/>
        <rFont val="Calibri"/>
        <family val="2"/>
        <scheme val="minor"/>
      </rPr>
      <t>DS07</t>
    </r>
    <r>
      <rPr>
        <sz val="11"/>
        <color theme="1"/>
        <rFont val="Calibri"/>
        <family val="2"/>
        <scheme val="minor"/>
      </rPr>
      <t xml:space="preserve"> 3/8"</t>
    </r>
  </si>
  <si>
    <r>
      <t xml:space="preserve">DRAIN SEWER CLEANER NOZZLE </t>
    </r>
    <r>
      <rPr>
        <b/>
        <sz val="11"/>
        <color theme="1"/>
        <rFont val="Calibri"/>
        <family val="2"/>
        <scheme val="minor"/>
      </rPr>
      <t>DS06</t>
    </r>
    <r>
      <rPr>
        <sz val="11"/>
        <color theme="1"/>
        <rFont val="Calibri"/>
        <family val="2"/>
        <scheme val="minor"/>
      </rPr>
      <t xml:space="preserve"> 1/4"</t>
    </r>
  </si>
  <si>
    <r>
      <t xml:space="preserve">EXTENSION ROD 380mm </t>
    </r>
    <r>
      <rPr>
        <b/>
        <sz val="11"/>
        <color theme="1"/>
        <rFont val="Calibri"/>
        <family val="2"/>
        <scheme val="minor"/>
      </rPr>
      <t>VS15</t>
    </r>
  </si>
  <si>
    <t>CONCRETE VIBRATOR NEEDLE 35mmX3M</t>
  </si>
  <si>
    <t>VIBRATOR NEEDLE</t>
  </si>
  <si>
    <r>
      <t>VELCRO DISC 6"X</t>
    </r>
    <r>
      <rPr>
        <b/>
        <sz val="11"/>
        <color theme="1"/>
        <rFont val="Calibri"/>
        <family val="2"/>
        <scheme val="minor"/>
      </rPr>
      <t>320G</t>
    </r>
  </si>
  <si>
    <r>
      <t>VELCRO DISC 6"X</t>
    </r>
    <r>
      <rPr>
        <b/>
        <sz val="11"/>
        <color theme="1"/>
        <rFont val="Calibri"/>
        <family val="2"/>
        <scheme val="minor"/>
      </rPr>
      <t>240G</t>
    </r>
  </si>
  <si>
    <r>
      <t>VELCRO DISC 6"X</t>
    </r>
    <r>
      <rPr>
        <b/>
        <sz val="11"/>
        <color theme="1"/>
        <rFont val="Calibri"/>
        <family val="2"/>
        <scheme val="minor"/>
      </rPr>
      <t>120G</t>
    </r>
  </si>
  <si>
    <r>
      <t>VELCRO DISC 6"X</t>
    </r>
    <r>
      <rPr>
        <b/>
        <sz val="11"/>
        <color theme="1"/>
        <rFont val="Calibri"/>
        <family val="2"/>
        <scheme val="minor"/>
      </rPr>
      <t>80G</t>
    </r>
  </si>
  <si>
    <r>
      <t>VELCRO DISC 6"X</t>
    </r>
    <r>
      <rPr>
        <b/>
        <sz val="11"/>
        <color theme="1"/>
        <rFont val="Calibri"/>
        <family val="2"/>
        <scheme val="minor"/>
      </rPr>
      <t>60G</t>
    </r>
  </si>
  <si>
    <r>
      <t>VELCRO DISC 6"X</t>
    </r>
    <r>
      <rPr>
        <b/>
        <sz val="11"/>
        <color theme="1"/>
        <rFont val="Calibri"/>
        <family val="2"/>
        <scheme val="minor"/>
      </rPr>
      <t>40G</t>
    </r>
  </si>
  <si>
    <t>VELCRO DISC 6"BROWN</t>
  </si>
  <si>
    <t>QTY/PK</t>
  </si>
  <si>
    <r>
      <t>SURIE POLISH WHEEL</t>
    </r>
    <r>
      <rPr>
        <b/>
        <sz val="11"/>
        <color theme="1"/>
        <rFont val="Calibri"/>
        <family val="2"/>
        <scheme val="minor"/>
      </rPr>
      <t xml:space="preserve"> 0 LEVEL GRINDING</t>
    </r>
  </si>
  <si>
    <r>
      <t xml:space="preserve">SURIE POLISH WHEEL </t>
    </r>
    <r>
      <rPr>
        <b/>
        <sz val="11"/>
        <color theme="1"/>
        <rFont val="Calibri"/>
        <family val="2"/>
        <scheme val="minor"/>
      </rPr>
      <t>5 FINE POLISH</t>
    </r>
  </si>
  <si>
    <r>
      <t xml:space="preserve">SURIE POLISH WHEEL </t>
    </r>
    <r>
      <rPr>
        <b/>
        <sz val="11"/>
        <color theme="1"/>
        <rFont val="Calibri"/>
        <family val="2"/>
        <scheme val="minor"/>
      </rPr>
      <t>4 POLISH</t>
    </r>
  </si>
  <si>
    <r>
      <t xml:space="preserve">SURIE POLISH WHEEL </t>
    </r>
    <r>
      <rPr>
        <b/>
        <sz val="11"/>
        <color theme="1"/>
        <rFont val="Calibri"/>
        <family val="2"/>
        <scheme val="minor"/>
      </rPr>
      <t>3 PRE POLISH</t>
    </r>
  </si>
  <si>
    <r>
      <t xml:space="preserve">SURIE POLISH WHEEL </t>
    </r>
    <r>
      <rPr>
        <b/>
        <sz val="11"/>
        <color theme="1"/>
        <rFont val="Calibri"/>
        <family val="2"/>
        <scheme val="minor"/>
      </rPr>
      <t>2 SMOOTH GRINDING</t>
    </r>
  </si>
  <si>
    <r>
      <t xml:space="preserve">SURIE POLISH WHEEL </t>
    </r>
    <r>
      <rPr>
        <b/>
        <sz val="11"/>
        <color theme="1"/>
        <rFont val="Calibri"/>
        <family val="2"/>
        <scheme val="minor"/>
      </rPr>
      <t>1 FINE GRINDING</t>
    </r>
  </si>
  <si>
    <r>
      <t xml:space="preserve">SURIE POLISH WHEEL </t>
    </r>
    <r>
      <rPr>
        <b/>
        <sz val="11"/>
        <color theme="0"/>
        <rFont val="Calibri"/>
        <family val="2"/>
        <scheme val="minor"/>
      </rPr>
      <t>6 BUFF</t>
    </r>
  </si>
  <si>
    <t>DIAMOND CORE BIT</t>
  </si>
  <si>
    <t>DIAMOND CORE BIT 20MM</t>
  </si>
  <si>
    <t>FLEXIBLE CUTTING WHEEL FOR STAINLESS STEEL WA</t>
  </si>
  <si>
    <r>
      <t>VELCRO DISC 5"X</t>
    </r>
    <r>
      <rPr>
        <b/>
        <sz val="11"/>
        <color theme="1"/>
        <rFont val="Calibri"/>
        <family val="2"/>
        <scheme val="minor"/>
      </rPr>
      <t>180G</t>
    </r>
  </si>
  <si>
    <r>
      <t xml:space="preserve">TURBO ROTARY NOZZLES (25°,35°,40°,70°) </t>
    </r>
    <r>
      <rPr>
        <b/>
        <sz val="11"/>
        <color theme="1"/>
        <rFont val="Calibri"/>
        <family val="2"/>
        <scheme val="minor"/>
      </rPr>
      <t>RU025</t>
    </r>
  </si>
  <si>
    <r>
      <t xml:space="preserve">SPRAY NOZZLE 6IN1 </t>
    </r>
    <r>
      <rPr>
        <b/>
        <sz val="11"/>
        <color theme="1"/>
        <rFont val="Calibri"/>
        <family val="2"/>
        <scheme val="minor"/>
      </rPr>
      <t>DS356</t>
    </r>
  </si>
  <si>
    <r>
      <t xml:space="preserve">TCT BLADE </t>
    </r>
    <r>
      <rPr>
        <b/>
        <sz val="11"/>
        <color theme="1"/>
        <rFont val="Calibri"/>
        <family val="2"/>
        <scheme val="minor"/>
      </rPr>
      <t>4"X40T</t>
    </r>
  </si>
  <si>
    <r>
      <t xml:space="preserve">TCT BLADE </t>
    </r>
    <r>
      <rPr>
        <b/>
        <sz val="11"/>
        <color theme="1"/>
        <rFont val="Calibri"/>
        <family val="2"/>
        <scheme val="minor"/>
      </rPr>
      <t>7"X60T</t>
    </r>
  </si>
  <si>
    <t>WATER FILTER</t>
  </si>
  <si>
    <t>CHAIN SAW CHAIN 18"</t>
  </si>
  <si>
    <t>CHAINSAW CHAIN</t>
  </si>
  <si>
    <t>CUP BRUSH</t>
  </si>
  <si>
    <t>3" CUP BRUSH BRASS</t>
  </si>
  <si>
    <t>3" CUP BRUSH TWISTED WIRE</t>
  </si>
  <si>
    <t>RAINBOW 2000 CERAMIC BLACK TILES CUTTER</t>
  </si>
  <si>
    <t>TILES CUTTER CERAMIC BLACK</t>
  </si>
  <si>
    <r>
      <t xml:space="preserve">TUQO PREMIUM SHAMPOO  </t>
    </r>
    <r>
      <rPr>
        <b/>
        <sz val="11"/>
        <color theme="1"/>
        <rFont val="Calibri"/>
        <family val="2"/>
        <scheme val="minor"/>
      </rPr>
      <t xml:space="preserve">CWS28 </t>
    </r>
    <r>
      <rPr>
        <sz val="11"/>
        <color theme="1"/>
        <rFont val="Calibri"/>
        <family val="2"/>
        <scheme val="minor"/>
      </rPr>
      <t>5L</t>
    </r>
  </si>
  <si>
    <t>14" CUT OFF WHEEL</t>
  </si>
  <si>
    <t>SPONGE POLISH WHEEL 7"</t>
  </si>
  <si>
    <t>SPONGE POLISH WHEEL</t>
  </si>
  <si>
    <r>
      <t xml:space="preserve">OUTLET HOSE 20M </t>
    </r>
    <r>
      <rPr>
        <b/>
        <sz val="11"/>
        <color theme="1"/>
        <rFont val="Calibri"/>
        <family val="2"/>
        <scheme val="minor"/>
      </rPr>
      <t>AW11</t>
    </r>
  </si>
  <si>
    <t>SDS PLUS 6X150X210mm</t>
  </si>
  <si>
    <t>SDS PLUS BITS</t>
  </si>
  <si>
    <t>WALL CUTTING WHEELS</t>
  </si>
  <si>
    <t>WALL CUTTING BLADE 5" FAST CUT(YELLOW)</t>
  </si>
  <si>
    <t>CHAINSAW CHAIN 18"</t>
  </si>
  <si>
    <t>POWERMATIC CHAIN</t>
  </si>
  <si>
    <t>COLOR</t>
  </si>
  <si>
    <t>ITEM CODE</t>
  </si>
  <si>
    <t>CONCRETE VIBRATOR NEEDLE</t>
  </si>
  <si>
    <t>ZN35X1.5M</t>
  </si>
  <si>
    <r>
      <t xml:space="preserve">VIBRATOR NEEDLE </t>
    </r>
    <r>
      <rPr>
        <b/>
        <sz val="11"/>
        <color theme="1"/>
        <rFont val="Calibri"/>
        <family val="2"/>
        <scheme val="minor"/>
      </rPr>
      <t>1.5MX35mm</t>
    </r>
  </si>
  <si>
    <t>POLISHING PAD</t>
  </si>
  <si>
    <t>6" POLISH PAD</t>
  </si>
  <si>
    <t>SPONGE POLISH WHEEL 5"</t>
  </si>
  <si>
    <t>ABRASIVE CLASSIC SERIES</t>
  </si>
  <si>
    <t>CUT OFF WHEEL 14"X2.8MM RAPID CUT BLK</t>
  </si>
  <si>
    <t>CUT OFF WHEEL 4" BRN ZON</t>
  </si>
  <si>
    <t>TCT HOLE SAW 22MM</t>
  </si>
  <si>
    <t>TCT HOLE SAW 44MM</t>
  </si>
  <si>
    <t>OUTLET HOSE 6M-135BAR</t>
  </si>
  <si>
    <t>OUTLET HOSES</t>
  </si>
  <si>
    <t>TCT HOLE SAW 50MM</t>
  </si>
  <si>
    <r>
      <t xml:space="preserve">TCT BLADE </t>
    </r>
    <r>
      <rPr>
        <b/>
        <sz val="11"/>
        <color theme="1"/>
        <rFont val="Calibri"/>
        <family val="2"/>
        <scheme val="minor"/>
      </rPr>
      <t>10"X60T</t>
    </r>
  </si>
  <si>
    <t>DISCOUNT</t>
  </si>
  <si>
    <t>PART NUMBER</t>
  </si>
  <si>
    <t>D-34877      T111C</t>
  </si>
  <si>
    <t>JIG SAW BLADE</t>
  </si>
  <si>
    <r>
      <t>JIG SAW BLADES 100MMX74MM</t>
    </r>
    <r>
      <rPr>
        <b/>
        <sz val="11"/>
        <color theme="1"/>
        <rFont val="Calibri"/>
        <family val="2"/>
        <scheme val="minor"/>
      </rPr>
      <t>(PACK OF 5)</t>
    </r>
    <r>
      <rPr>
        <sz val="11"/>
        <color theme="1"/>
        <rFont val="Calibri"/>
        <family val="2"/>
        <scheme val="minor"/>
      </rPr>
      <t xml:space="preserve">  8TPI</t>
    </r>
  </si>
  <si>
    <t>JIGSAW BLADE T144D PRICE/NO</t>
  </si>
  <si>
    <t>EXTIONSION HOSE 6M WITH ADAPTOR</t>
  </si>
  <si>
    <t>TCT HOLE SAW 57MM</t>
  </si>
  <si>
    <t>TCT HOLE SAW 63MM</t>
  </si>
  <si>
    <t>TCT HOLE SAW 35MM</t>
  </si>
  <si>
    <t>TCT HOLE SAW 18MM</t>
  </si>
  <si>
    <t>FLAP DISC 60,80,120</t>
  </si>
  <si>
    <t>5" FIBER DISC G36</t>
  </si>
  <si>
    <t>7" VELCRO DISC WALL SANDING DISC</t>
  </si>
  <si>
    <t>9" VELCRO DISC WALL SANDING DISC</t>
  </si>
  <si>
    <t>FIBER DISC</t>
  </si>
  <si>
    <t>FLAP DISC</t>
  </si>
  <si>
    <t>5" VELCRO DISC G 80-600</t>
  </si>
  <si>
    <r>
      <t xml:space="preserve">QUICK RELEASE COUPLING FOR NOZZLE 1/4" </t>
    </r>
    <r>
      <rPr>
        <b/>
        <sz val="11"/>
        <color theme="1"/>
        <rFont val="Calibri"/>
        <family val="2"/>
        <scheme val="minor"/>
      </rPr>
      <t>SV09</t>
    </r>
  </si>
  <si>
    <r>
      <t xml:space="preserve">QUICK RELEASE COUPLING FOR NOZZLE 3/8" </t>
    </r>
    <r>
      <rPr>
        <b/>
        <sz val="11"/>
        <color theme="1"/>
        <rFont val="Calibri"/>
        <family val="2"/>
        <scheme val="minor"/>
      </rPr>
      <t>SAN150</t>
    </r>
    <r>
      <rPr>
        <sz val="11"/>
        <color theme="1"/>
        <rFont val="Calibri"/>
        <family val="2"/>
        <scheme val="minor"/>
      </rPr>
      <t xml:space="preserve"> (2PC)</t>
    </r>
  </si>
  <si>
    <r>
      <t xml:space="preserve">HOSE CONNECTOR HEX NIPPLE M22 </t>
    </r>
    <r>
      <rPr>
        <b/>
        <sz val="11"/>
        <color theme="1"/>
        <rFont val="Calibri"/>
        <family val="2"/>
        <scheme val="minor"/>
      </rPr>
      <t>RB438</t>
    </r>
  </si>
  <si>
    <t>DIAMOND CORE BIT 37MM</t>
  </si>
  <si>
    <t>DIAMOND CORE BIT 33MM</t>
  </si>
  <si>
    <r>
      <t xml:space="preserve">TUQO GOLD SELECT FOAM </t>
    </r>
    <r>
      <rPr>
        <b/>
        <sz val="11"/>
        <color theme="1"/>
        <rFont val="Calibri"/>
        <family val="2"/>
        <scheme val="minor"/>
      </rPr>
      <t>CWS24</t>
    </r>
    <r>
      <rPr>
        <sz val="11"/>
        <color theme="1"/>
        <rFont val="Calibri"/>
        <family val="2"/>
        <scheme val="minor"/>
      </rPr>
      <t xml:space="preserve"> 500ML</t>
    </r>
  </si>
  <si>
    <r>
      <t xml:space="preserve">TUQO PREMIUM SHAMPOO </t>
    </r>
    <r>
      <rPr>
        <b/>
        <sz val="11"/>
        <color theme="1"/>
        <rFont val="Calibri"/>
        <family val="2"/>
        <scheme val="minor"/>
      </rPr>
      <t>CWS24</t>
    </r>
    <r>
      <rPr>
        <sz val="11"/>
        <color theme="1"/>
        <rFont val="Calibri"/>
        <family val="2"/>
        <scheme val="minor"/>
      </rPr>
      <t xml:space="preserve"> 500ML</t>
    </r>
  </si>
  <si>
    <r>
      <t xml:space="preserve">ADJUSTABLE NOZZLE BLACK </t>
    </r>
    <r>
      <rPr>
        <b/>
        <sz val="11"/>
        <color theme="1"/>
        <rFont val="Calibri"/>
        <family val="2"/>
        <scheme val="minor"/>
      </rPr>
      <t>DS50</t>
    </r>
  </si>
  <si>
    <r>
      <t xml:space="preserve">VIBRATOR NEEDLE </t>
    </r>
    <r>
      <rPr>
        <b/>
        <sz val="11"/>
        <color theme="1"/>
        <rFont val="Calibri"/>
        <family val="2"/>
        <scheme val="minor"/>
      </rPr>
      <t>3MX35mm</t>
    </r>
  </si>
  <si>
    <t>ZN35X3M</t>
  </si>
  <si>
    <t>SEGMENT BLADE 5"</t>
  </si>
  <si>
    <t>MARBLE CUTTING  BLADES</t>
  </si>
  <si>
    <t>4"XG36</t>
  </si>
  <si>
    <t>PETROL SPRAYER LANCE</t>
  </si>
  <si>
    <t>LANCE 2F</t>
  </si>
  <si>
    <t>NUT BIT 10MMX65MM</t>
  </si>
  <si>
    <t>JIGSAW BLADE T144DF PRICE/pkt</t>
  </si>
  <si>
    <t>DIAMOND CORE BIT 10MM</t>
  </si>
  <si>
    <t xml:space="preserve">4" CUP BLADE SEG </t>
  </si>
  <si>
    <t>A-83696</t>
  </si>
  <si>
    <t xml:space="preserve">TCT SAW BLADES </t>
  </si>
  <si>
    <r>
      <t xml:space="preserve">TCT SAW BLADES </t>
    </r>
    <r>
      <rPr>
        <b/>
        <sz val="11"/>
        <color theme="1"/>
        <rFont val="Calibri"/>
        <family val="2"/>
        <scheme val="minor"/>
      </rPr>
      <t>10"X32T</t>
    </r>
  </si>
  <si>
    <t>STEP DRILLS</t>
  </si>
  <si>
    <t>TCT HOLE SAW 19MM</t>
  </si>
  <si>
    <t>SEGMENT BLADE 4"</t>
  </si>
  <si>
    <t>4"-1.2MM-275</t>
  </si>
  <si>
    <t>HSS DRILL BIT SETS</t>
  </si>
  <si>
    <r>
      <t xml:space="preserve">DRILL BIT SET </t>
    </r>
    <r>
      <rPr>
        <b/>
        <sz val="11"/>
        <color theme="1"/>
        <rFont val="Calibri"/>
        <family val="2"/>
        <scheme val="minor"/>
      </rPr>
      <t>25PC</t>
    </r>
  </si>
  <si>
    <t>14"-377 BLK</t>
  </si>
  <si>
    <t>CUP BURSH TWISTED WIRE 3" FOR 4" GRINDER</t>
  </si>
  <si>
    <t>CUP BURSH TWISTED WIRE 4" FOR 5" GRINDER</t>
  </si>
  <si>
    <t xml:space="preserve">4" DIAMOND WHEEL SEGMENTED </t>
  </si>
  <si>
    <r>
      <t xml:space="preserve">HEX SOCKET </t>
    </r>
    <r>
      <rPr>
        <b/>
        <sz val="11"/>
        <color theme="1"/>
        <rFont val="Calibri"/>
        <family val="2"/>
        <scheme val="minor"/>
      </rPr>
      <t>16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</si>
  <si>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17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</si>
  <si>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18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</si>
  <si>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20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</si>
  <si>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21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</si>
  <si>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22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</si>
  <si>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24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</si>
  <si>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26</t>
    </r>
  </si>
  <si>
    <r>
      <t xml:space="preserve">HEX SOCKET </t>
    </r>
    <r>
      <rPr>
        <b/>
        <sz val="11"/>
        <color theme="1"/>
        <rFont val="Calibri"/>
        <family val="2"/>
        <scheme val="minor"/>
      </rPr>
      <t>30</t>
    </r>
  </si>
  <si>
    <t>DIAMOND CORE BIT 50MM</t>
  </si>
  <si>
    <r>
      <t xml:space="preserve">TCT BLADE </t>
    </r>
    <r>
      <rPr>
        <b/>
        <sz val="11"/>
        <color theme="1"/>
        <rFont val="Calibri"/>
        <family val="2"/>
        <scheme val="minor"/>
      </rPr>
      <t>5"X40T</t>
    </r>
  </si>
  <si>
    <r>
      <t xml:space="preserve">TCT BLADE </t>
    </r>
    <r>
      <rPr>
        <b/>
        <sz val="11"/>
        <color theme="1"/>
        <rFont val="Calibri"/>
        <family val="2"/>
        <scheme val="minor"/>
      </rPr>
      <t>5"X12T</t>
    </r>
  </si>
  <si>
    <r>
      <rPr>
        <b/>
        <sz val="11"/>
        <color theme="1"/>
        <rFont val="Calibri"/>
        <family val="2"/>
        <scheme val="minor"/>
      </rPr>
      <t>4"x1mm</t>
    </r>
    <r>
      <rPr>
        <sz val="11"/>
        <color theme="1"/>
        <rFont val="Calibri"/>
        <family val="2"/>
        <scheme val="minor"/>
      </rPr>
      <t xml:space="preserve"> CUT OFF WHEEL (BROWN)</t>
    </r>
  </si>
  <si>
    <r>
      <rPr>
        <b/>
        <sz val="11"/>
        <color theme="1"/>
        <rFont val="Calibri"/>
        <family val="2"/>
        <scheme val="minor"/>
      </rPr>
      <t>4"X3mm</t>
    </r>
    <r>
      <rPr>
        <sz val="11"/>
        <color theme="1"/>
        <rFont val="Calibri"/>
        <family val="2"/>
        <scheme val="minor"/>
      </rPr>
      <t xml:space="preserve"> CUT OFF WHEEL (BROWN)</t>
    </r>
  </si>
  <si>
    <t>BIMETAL HOLE SAW 32MM</t>
  </si>
  <si>
    <t>HOLE SAW ARBOUR</t>
  </si>
  <si>
    <t xml:space="preserve">BIMETAL HOLE SAW </t>
  </si>
  <si>
    <t>D-17049</t>
  </si>
  <si>
    <t>D-17186</t>
  </si>
  <si>
    <r>
      <t xml:space="preserve">HEX SOCKET </t>
    </r>
    <r>
      <rPr>
        <b/>
        <sz val="11"/>
        <color theme="1"/>
        <rFont val="Calibri"/>
        <family val="2"/>
        <scheme val="minor"/>
      </rPr>
      <t>13</t>
    </r>
  </si>
  <si>
    <t>BIMETAL HOLE SAW 64MM</t>
  </si>
  <si>
    <t>CONCRETE CORE BITS</t>
  </si>
  <si>
    <t>DIAMOND CORE BIT 26MM</t>
  </si>
  <si>
    <t>DIAMOND CORE BIT 6.5MM</t>
  </si>
  <si>
    <r>
      <t xml:space="preserve">FLEXIBLE POLISHING PAD </t>
    </r>
    <r>
      <rPr>
        <b/>
        <sz val="11"/>
        <color theme="1"/>
        <rFont val="Calibri"/>
        <family val="2"/>
        <scheme val="minor"/>
      </rPr>
      <t>DCRF5U1XD</t>
    </r>
  </si>
  <si>
    <r>
      <t xml:space="preserve">Flexible pad </t>
    </r>
    <r>
      <rPr>
        <b/>
        <sz val="11"/>
        <color theme="1"/>
        <rFont val="Calibri"/>
        <family val="2"/>
        <scheme val="minor"/>
      </rPr>
      <t>XD 60</t>
    </r>
  </si>
  <si>
    <t>IMAGE</t>
  </si>
  <si>
    <t>CONCRETE COR BIT 35MM</t>
  </si>
  <si>
    <t xml:space="preserve">14" </t>
  </si>
  <si>
    <t>5"X1.6</t>
  </si>
  <si>
    <t>7"X3</t>
  </si>
  <si>
    <t>7"X6 GRINDING WHEEL BRN</t>
  </si>
  <si>
    <r>
      <t xml:space="preserve">POLISH PAD 100MM </t>
    </r>
    <r>
      <rPr>
        <b/>
        <sz val="11"/>
        <color theme="1"/>
        <rFont val="Calibri"/>
        <family val="2"/>
        <scheme val="minor"/>
      </rPr>
      <t>MIRREX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DCRPD4S1</t>
    </r>
  </si>
  <si>
    <r>
      <t xml:space="preserve">POLISH PAD 100MM </t>
    </r>
    <r>
      <rPr>
        <b/>
        <sz val="11"/>
        <color theme="1"/>
        <rFont val="Calibri"/>
        <family val="2"/>
        <scheme val="minor"/>
      </rPr>
      <t>GOLD</t>
    </r>
    <r>
      <rPr>
        <sz val="11"/>
        <color theme="1"/>
        <rFont val="Calibri"/>
        <family val="2"/>
        <scheme val="minor"/>
      </rPr>
      <t xml:space="preserve"> DCRPD4S1</t>
    </r>
  </si>
  <si>
    <t>4"X6MM</t>
  </si>
  <si>
    <t>5"X6.8</t>
  </si>
  <si>
    <t>7"X3.0</t>
  </si>
  <si>
    <r>
      <t>FLAP DISC ALOX</t>
    </r>
    <r>
      <rPr>
        <b/>
        <sz val="11"/>
        <color theme="1"/>
        <rFont val="Calibri"/>
        <family val="2"/>
        <scheme val="minor"/>
      </rPr>
      <t xml:space="preserve"> 5"X80G</t>
    </r>
  </si>
  <si>
    <r>
      <t xml:space="preserve">FLAP DISC ALOX </t>
    </r>
    <r>
      <rPr>
        <b/>
        <sz val="11"/>
        <color theme="1"/>
        <rFont val="Calibri"/>
        <family val="2"/>
        <scheme val="minor"/>
      </rPr>
      <t>4"X36G</t>
    </r>
  </si>
  <si>
    <r>
      <t xml:space="preserve">FLAP DISC ALOX </t>
    </r>
    <r>
      <rPr>
        <b/>
        <sz val="11"/>
        <color theme="1"/>
        <rFont val="Calibri"/>
        <family val="2"/>
        <scheme val="minor"/>
      </rPr>
      <t>7"X80G</t>
    </r>
  </si>
  <si>
    <r>
      <t xml:space="preserve">DIAMOND GRINDING CUP WHEEL </t>
    </r>
    <r>
      <rPr>
        <b/>
        <sz val="11"/>
        <color theme="1"/>
        <rFont val="Calibri"/>
        <family val="2"/>
        <scheme val="minor"/>
      </rPr>
      <t>4"</t>
    </r>
  </si>
  <si>
    <t>DIAMOND GRINDING CUP WHEELS</t>
  </si>
  <si>
    <t xml:space="preserve">VIBRATOR NEEDLE </t>
  </si>
  <si>
    <r>
      <t xml:space="preserve">VIBRATOR NEEDLE </t>
    </r>
    <r>
      <rPr>
        <b/>
        <sz val="11"/>
        <color theme="1"/>
        <rFont val="Calibri"/>
        <family val="2"/>
        <scheme val="minor"/>
      </rPr>
      <t>1.5MX35MM</t>
    </r>
  </si>
  <si>
    <r>
      <t xml:space="preserve">TURBO ROTARY NOZZLES (25°,35°,40°,70°) </t>
    </r>
    <r>
      <rPr>
        <b/>
        <sz val="11"/>
        <color theme="1"/>
        <rFont val="Calibri"/>
        <family val="2"/>
        <scheme val="minor"/>
      </rPr>
      <t>RU040</t>
    </r>
  </si>
  <si>
    <t>5"X1.0MM INOX</t>
  </si>
  <si>
    <t>4"x30t TCT BLADE</t>
  </si>
  <si>
    <t>5"X30T TCT BLADE</t>
  </si>
  <si>
    <t>4" 100MM CUP WIRE BRUSH BRASS</t>
  </si>
  <si>
    <t>GRINDING WHEELS 4"</t>
  </si>
  <si>
    <t>GRINDING WHEELS 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</si>
</sst>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theme="1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theme="1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 style="thin">
        <color theme="1"/>
      </left>
      <right/>
      <top/>
      <bottom style="thick">
        <color rgb="FFFF0000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ck">
        <color rgb="FFFF0000"/>
      </bottom>
      <diagonal/>
    </border>
    <border>
      <left style="thick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ck">
        <color rgb="FFFF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medium">
        <color indexed="64"/>
      </bottom>
      <diagonal/>
    </border>
    <border>
      <left style="thin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 style="thin">
        <color theme="1"/>
      </left>
      <right/>
      <top style="thick">
        <color rgb="FFFF0000"/>
      </top>
      <bottom/>
      <diagonal/>
    </border>
    <border>
      <left style="thin">
        <color theme="1"/>
      </left>
      <right style="thin">
        <color theme="1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/>
    <xf numFmtId="0" fontId="0" fillId="0" borderId="18" xfId="0" applyBorder="1"/>
    <xf numFmtId="0" fontId="1" fillId="0" borderId="2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12" xfId="0" applyBorder="1" applyAlignment="1">
      <alignment horizontal="center"/>
    </xf>
    <xf numFmtId="0" fontId="0" fillId="0" borderId="22" xfId="0" applyBorder="1"/>
    <xf numFmtId="0" fontId="0" fillId="7" borderId="35" xfId="0" applyFill="1" applyBorder="1"/>
    <xf numFmtId="0" fontId="0" fillId="8" borderId="34" xfId="0" applyFill="1" applyBorder="1"/>
    <xf numFmtId="0" fontId="0" fillId="9" borderId="34" xfId="0" applyFill="1" applyBorder="1"/>
    <xf numFmtId="0" fontId="0" fillId="10" borderId="25" xfId="0" applyFill="1" applyBorder="1"/>
    <xf numFmtId="0" fontId="0" fillId="6" borderId="30" xfId="0" applyFill="1" applyBorder="1"/>
    <xf numFmtId="0" fontId="0" fillId="11" borderId="34" xfId="0" applyFill="1" applyBorder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0" fillId="0" borderId="8" xfId="0" applyBorder="1"/>
    <xf numFmtId="0" fontId="5" fillId="0" borderId="4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12" borderId="25" xfId="0" applyFont="1" applyFill="1" applyBorder="1"/>
    <xf numFmtId="0" fontId="0" fillId="0" borderId="48" xfId="0" applyBorder="1"/>
    <xf numFmtId="0" fontId="0" fillId="0" borderId="1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3" xfId="0" applyBorder="1"/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3" xfId="0" applyBorder="1"/>
    <xf numFmtId="0" fontId="0" fillId="0" borderId="2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0" fillId="5" borderId="45" xfId="0" applyFill="1" applyBorder="1" applyAlignment="1">
      <alignment horizontal="left"/>
    </xf>
    <xf numFmtId="0" fontId="0" fillId="5" borderId="8" xfId="0" applyFill="1" applyBorder="1" applyAlignment="1">
      <alignment horizontal="center"/>
    </xf>
    <xf numFmtId="0" fontId="0" fillId="0" borderId="55" xfId="0" applyBorder="1"/>
    <xf numFmtId="0" fontId="0" fillId="0" borderId="3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5" borderId="58" xfId="0" applyFill="1" applyBorder="1" applyAlignment="1">
      <alignment horizontal="left"/>
    </xf>
    <xf numFmtId="0" fontId="0" fillId="5" borderId="12" xfId="0" applyFill="1" applyBorder="1" applyAlignment="1">
      <alignment horizontal="center"/>
    </xf>
    <xf numFmtId="0" fontId="0" fillId="0" borderId="59" xfId="0" applyBorder="1"/>
    <xf numFmtId="0" fontId="0" fillId="0" borderId="25" xfId="0" applyBorder="1"/>
    <xf numFmtId="0" fontId="0" fillId="0" borderId="29" xfId="0" applyBorder="1"/>
    <xf numFmtId="0" fontId="0" fillId="0" borderId="42" xfId="0" applyBorder="1"/>
    <xf numFmtId="0" fontId="0" fillId="5" borderId="20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5" borderId="62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0" fillId="17" borderId="1" xfId="0" applyFill="1" applyBorder="1"/>
    <xf numFmtId="0" fontId="0" fillId="18" borderId="1" xfId="0" applyFill="1" applyBorder="1"/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9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11" borderId="1" xfId="0" applyFill="1" applyBorder="1"/>
    <xf numFmtId="0" fontId="3" fillId="19" borderId="1" xfId="0" applyFont="1" applyFill="1" applyBorder="1"/>
    <xf numFmtId="0" fontId="0" fillId="20" borderId="50" xfId="0" applyFill="1" applyBorder="1" applyAlignment="1">
      <alignment horizontal="left"/>
    </xf>
    <xf numFmtId="0" fontId="0" fillId="0" borderId="63" xfId="0" applyBorder="1" applyAlignment="1">
      <alignment horizontal="center"/>
    </xf>
    <xf numFmtId="0" fontId="0" fillId="0" borderId="58" xfId="0" applyBorder="1" applyAlignment="1">
      <alignment horizontal="left"/>
    </xf>
    <xf numFmtId="0" fontId="1" fillId="0" borderId="64" xfId="0" applyFont="1" applyBorder="1" applyAlignment="1">
      <alignment horizontal="center"/>
    </xf>
    <xf numFmtId="0" fontId="0" fillId="0" borderId="65" xfId="0" applyBorder="1" applyAlignment="1">
      <alignment horizontal="left"/>
    </xf>
    <xf numFmtId="0" fontId="0" fillId="0" borderId="66" xfId="0" applyBorder="1" applyAlignment="1">
      <alignment horizontal="left"/>
    </xf>
    <xf numFmtId="0" fontId="1" fillId="0" borderId="67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5" borderId="1" xfId="0" applyFill="1" applyBorder="1"/>
    <xf numFmtId="0" fontId="0" fillId="0" borderId="70" xfId="0" applyBorder="1" applyAlignment="1">
      <alignment horizontal="left"/>
    </xf>
    <xf numFmtId="0" fontId="1" fillId="0" borderId="71" xfId="0" applyFont="1" applyBorder="1" applyAlignment="1">
      <alignment horizontal="center"/>
    </xf>
    <xf numFmtId="0" fontId="0" fillId="0" borderId="72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1" fillId="3" borderId="78" xfId="0" applyFont="1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36" xfId="0" applyFill="1" applyBorder="1" applyAlignment="1">
      <alignment horizontal="left"/>
    </xf>
    <xf numFmtId="0" fontId="1" fillId="8" borderId="32" xfId="0" applyFont="1" applyFill="1" applyBorder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1" fillId="0" borderId="37" xfId="0" applyFont="1" applyBorder="1"/>
    <xf numFmtId="0" fontId="1" fillId="5" borderId="37" xfId="0" applyFont="1" applyFill="1" applyBorder="1" applyAlignment="1">
      <alignment horizontal="center"/>
    </xf>
    <xf numFmtId="0" fontId="0" fillId="0" borderId="83" xfId="0" applyBorder="1"/>
    <xf numFmtId="0" fontId="0" fillId="0" borderId="84" xfId="0" applyBorder="1" applyAlignment="1">
      <alignment horizontal="center"/>
    </xf>
    <xf numFmtId="0" fontId="0" fillId="0" borderId="36" xfId="0" applyBorder="1"/>
    <xf numFmtId="0" fontId="0" fillId="0" borderId="85" xfId="0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0" borderId="35" xfId="0" applyBorder="1"/>
    <xf numFmtId="0" fontId="0" fillId="5" borderId="1" xfId="0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5" borderId="2" xfId="0" applyFill="1" applyBorder="1"/>
    <xf numFmtId="0" fontId="0" fillId="0" borderId="87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37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82" xfId="0" applyBorder="1" applyAlignment="1">
      <alignment vertical="center"/>
    </xf>
    <xf numFmtId="0" fontId="1" fillId="0" borderId="8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22" borderId="37" xfId="0" applyFont="1" applyFill="1" applyBorder="1" applyAlignment="1">
      <alignment horizontal="center"/>
    </xf>
    <xf numFmtId="0" fontId="1" fillId="22" borderId="5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17" fontId="1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6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79" xfId="0" applyFont="1" applyFill="1" applyBorder="1" applyAlignment="1">
      <alignment horizontal="center"/>
    </xf>
    <xf numFmtId="0" fontId="1" fillId="3" borderId="80" xfId="0" applyFont="1" applyFill="1" applyBorder="1" applyAlignment="1">
      <alignment horizontal="center"/>
    </xf>
    <xf numFmtId="0" fontId="1" fillId="3" borderId="81" xfId="0" applyFont="1" applyFill="1" applyBorder="1" applyAlignment="1">
      <alignment horizontal="center"/>
    </xf>
    <xf numFmtId="0" fontId="1" fillId="16" borderId="22" xfId="0" applyFont="1" applyFill="1" applyBorder="1" applyAlignment="1">
      <alignment horizontal="center"/>
    </xf>
    <xf numFmtId="0" fontId="1" fillId="16" borderId="16" xfId="0" applyFont="1" applyFill="1" applyBorder="1" applyAlignment="1">
      <alignment horizontal="center"/>
    </xf>
    <xf numFmtId="0" fontId="1" fillId="16" borderId="73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74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1" fillId="16" borderId="11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16" borderId="39" xfId="0" applyFont="1" applyFill="1" applyBorder="1" applyAlignment="1">
      <alignment horizontal="center"/>
    </xf>
    <xf numFmtId="0" fontId="1" fillId="16" borderId="56" xfId="0" applyFont="1" applyFill="1" applyBorder="1" applyAlignment="1">
      <alignment horizontal="center"/>
    </xf>
    <xf numFmtId="0" fontId="1" fillId="16" borderId="57" xfId="0" applyFont="1" applyFill="1" applyBorder="1" applyAlignment="1">
      <alignment horizontal="center"/>
    </xf>
    <xf numFmtId="0" fontId="1" fillId="3" borderId="88" xfId="0" applyFont="1" applyFill="1" applyBorder="1" applyAlignment="1">
      <alignment horizontal="center"/>
    </xf>
    <xf numFmtId="0" fontId="1" fillId="3" borderId="7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86" xfId="0" applyFont="1" applyFill="1" applyBorder="1" applyAlignment="1">
      <alignment horizontal="center"/>
    </xf>
    <xf numFmtId="0" fontId="1" fillId="3" borderId="51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3" borderId="75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4" fillId="0" borderId="3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5" fillId="13" borderId="46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5" borderId="43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37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center"/>
    </xf>
    <xf numFmtId="0" fontId="9" fillId="2" borderId="4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66FFFF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49306</xdr:colOff>
      <xdr:row>47</xdr:row>
      <xdr:rowOff>179294</xdr:rowOff>
    </xdr:from>
    <xdr:to>
      <xdr:col>2</xdr:col>
      <xdr:colOff>593912</xdr:colOff>
      <xdr:row>50</xdr:row>
      <xdr:rowOff>172571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D68BE6-C83F-0242-A5AF-A6D1F667E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0059" y="9336741"/>
          <a:ext cx="544606" cy="544606"/>
        </a:xfrm>
        <a:prstGeom prst="rect">
          <a:avLst/>
        </a:prstGeom>
      </xdr:spPr>
    </xdr:pic>
    <xdr:clientData/>
  </xdr:twoCellAnchor>
  <xdr:twoCellAnchor>
    <xdr:from>
      <xdr:col>2</xdr:col>
      <xdr:colOff>161365</xdr:colOff>
      <xdr:row>21</xdr:row>
      <xdr:rowOff>0</xdr:rowOff>
    </xdr:from>
    <xdr:to>
      <xdr:col>2</xdr:col>
      <xdr:colOff>533400</xdr:colOff>
      <xdr:row>23</xdr:row>
      <xdr:rowOff>4482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AD88A0-18ED-7313-A323-17734B6F9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2118" y="4379259"/>
          <a:ext cx="372035" cy="372035"/>
        </a:xfrm>
        <a:prstGeom prst="rect">
          <a:avLst/>
        </a:prstGeom>
      </xdr:spPr>
    </xdr:pic>
    <xdr:clientData/>
  </xdr:twoCellAnchor>
  <xdr:twoCellAnchor>
    <xdr:from>
      <xdr:col>1</xdr:col>
      <xdr:colOff>591673</xdr:colOff>
      <xdr:row>5</xdr:row>
      <xdr:rowOff>24652</xdr:rowOff>
    </xdr:from>
    <xdr:to>
      <xdr:col>6</xdr:col>
      <xdr:colOff>0</xdr:colOff>
      <xdr:row>9</xdr:row>
      <xdr:rowOff>73957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691982-42FC-E260-AD36-903E25940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1449" y="925605"/>
          <a:ext cx="775446" cy="775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1</xdr:row>
      <xdr:rowOff>118920</xdr:rowOff>
    </xdr:from>
    <xdr:to>
      <xdr:col>2</xdr:col>
      <xdr:colOff>22860</xdr:colOff>
      <xdr:row>4</xdr:row>
      <xdr:rowOff>89535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CE88D-319D-15F2-3609-BABFEFD72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80" y="301800"/>
          <a:ext cx="1211580" cy="10374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129686</xdr:colOff>
      <xdr:row>4</xdr:row>
      <xdr:rowOff>262</xdr:rowOff>
    </xdr:from>
    <xdr:to>
      <xdr:col>4</xdr:col>
      <xdr:colOff>497077</xdr:colOff>
      <xdr:row>4</xdr:row>
      <xdr:rowOff>370388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3B9E4-BCA7-A32D-14BF-A29E1DB7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4533">
          <a:off x="3160498" y="931277"/>
          <a:ext cx="367391" cy="370126"/>
        </a:xfrm>
        <a:prstGeom prst="rect">
          <a:avLst/>
        </a:prstGeom>
      </xdr:spPr>
    </xdr:pic>
    <xdr:clientData/>
  </xdr:twoCellAnchor>
  <xdr:twoCellAnchor>
    <xdr:from>
      <xdr:col>4</xdr:col>
      <xdr:colOff>136358</xdr:colOff>
      <xdr:row>2</xdr:row>
      <xdr:rowOff>1043</xdr:rowOff>
    </xdr:from>
    <xdr:to>
      <xdr:col>4</xdr:col>
      <xdr:colOff>513347</xdr:colOff>
      <xdr:row>2</xdr:row>
      <xdr:rowOff>380618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A0E13B-1D51-BAD0-1233-9A126F6FE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8316" y="370011"/>
          <a:ext cx="376989" cy="37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182881</xdr:colOff>
      <xdr:row>2</xdr:row>
      <xdr:rowOff>53340</xdr:rowOff>
    </xdr:from>
    <xdr:to>
      <xdr:col>4</xdr:col>
      <xdr:colOff>1104900</xdr:colOff>
      <xdr:row>8</xdr:row>
      <xdr:rowOff>137269</xdr:rowOff>
    </xdr:to>
    <xdr:pic>
      <xdr:nvPicPr>
        <xdr:cNvPr id="2" name="Picture 1" descr="Surie Polex Polishing Pads, 4 Inch at ₹ 74.5/piece in Jaipur | ID:  2849704488730">
          <a:extLst>
            <a:ext uri="{FF2B5EF4-FFF2-40B4-BE49-F238E27FC236}">
              <a16:creationId xmlns:a16="http://schemas.microsoft.com/office/drawing/2014/main" id="{FEDCCE2D-65FD-8552-F507-D0F23031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0261" y="419100"/>
          <a:ext cx="922019" cy="1181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91440</xdr:colOff>
      <xdr:row>10</xdr:row>
      <xdr:rowOff>38100</xdr:rowOff>
    </xdr:from>
    <xdr:to>
      <xdr:col>4</xdr:col>
      <xdr:colOff>1219200</xdr:colOff>
      <xdr:row>16</xdr:row>
      <xdr:rowOff>68580</xdr:rowOff>
    </xdr:to>
    <xdr:pic>
      <xdr:nvPicPr>
        <xdr:cNvPr id="3" name="Picture 2" descr="Nylon Surie Polex Mirex Pad, 6 Inch, Red at ₹ 70/piece in Siliguri | ID:  2852658355933">
          <a:extLst>
            <a:ext uri="{FF2B5EF4-FFF2-40B4-BE49-F238E27FC236}">
              <a16:creationId xmlns:a16="http://schemas.microsoft.com/office/drawing/2014/main" id="{C70D53CE-86AE-D991-0385-91C4492F1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820" y="1866900"/>
          <a:ext cx="112776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83820</xdr:colOff>
      <xdr:row>18</xdr:row>
      <xdr:rowOff>99060</xdr:rowOff>
    </xdr:from>
    <xdr:to>
      <xdr:col>4</xdr:col>
      <xdr:colOff>1162526</xdr:colOff>
      <xdr:row>18</xdr:row>
      <xdr:rowOff>1249680</xdr:rowOff>
    </xdr:to>
    <xdr:pic>
      <xdr:nvPicPr>
        <xdr:cNvPr id="4" name="Picture 3" descr="Round Surie Polex XD100 Flexible Diamond Pads, For Marble Polish at ₹  70/piece in Bhopal">
          <a:extLst>
            <a:ext uri="{FF2B5EF4-FFF2-40B4-BE49-F238E27FC236}">
              <a16:creationId xmlns:a16="http://schemas.microsoft.com/office/drawing/2014/main" id="{00D5E605-7E4E-8EC3-C253-48B5838A6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390900"/>
          <a:ext cx="1078706" cy="1150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5C4F-29A9-4B94-935A-0D46D034B08B}">
  <sheetPr>
    <tabColor theme="4" tint="-0.249977111117893"/>
  </sheetPr>
  <dimension ref="A1:F53"/>
  <sheetViews>
    <sheetView zoomScale="170" zoomScaleNormal="170" workbookViewId="0">
      <selection activeCell="G1" sqref="G1:H1048576"/>
    </sheetView>
  </sheetViews>
  <sheetFormatPr defaultRowHeight="14.4" x14ac:dyDescent="0.3"/>
  <cols>
    <col min="1" max="1" width="36" customWidth="1"/>
    <col min="2" max="3" width="9.33203125" style="3" customWidth="1"/>
    <col min="4" max="6" width="8.88671875" hidden="1" customWidth="1"/>
  </cols>
  <sheetData>
    <row r="1" spans="1:6" x14ac:dyDescent="0.3">
      <c r="A1" s="9" t="s">
        <v>198</v>
      </c>
      <c r="B1" s="1" t="s">
        <v>220</v>
      </c>
      <c r="C1" s="1" t="s">
        <v>348</v>
      </c>
      <c r="D1" s="9" t="s">
        <v>1</v>
      </c>
      <c r="E1" s="9" t="s">
        <v>62</v>
      </c>
      <c r="F1" s="9" t="s">
        <v>2</v>
      </c>
    </row>
    <row r="2" spans="1:6" x14ac:dyDescent="0.3">
      <c r="A2" s="151" t="s">
        <v>197</v>
      </c>
      <c r="B2" s="151"/>
      <c r="C2" s="151"/>
      <c r="D2" s="151"/>
      <c r="E2" s="151"/>
      <c r="F2" s="151"/>
    </row>
    <row r="3" spans="1:6" x14ac:dyDescent="0.3">
      <c r="A3" s="2" t="s">
        <v>277</v>
      </c>
      <c r="B3" s="4">
        <v>100</v>
      </c>
      <c r="C3" s="4"/>
      <c r="D3" s="2">
        <v>34.700000000000003</v>
      </c>
      <c r="E3" s="2">
        <f>D3+(D3*0.18)</f>
        <v>40.946000000000005</v>
      </c>
      <c r="F3" s="2">
        <f>E3+(E3*0.05)</f>
        <v>42.993300000000005</v>
      </c>
    </row>
    <row r="4" spans="1:6" ht="13.95" customHeight="1" x14ac:dyDescent="0.3">
      <c r="A4" s="2" t="s">
        <v>306</v>
      </c>
      <c r="B4" s="4">
        <v>5</v>
      </c>
      <c r="C4" s="4"/>
      <c r="D4" s="2">
        <v>515</v>
      </c>
      <c r="E4" s="2">
        <f>D4+(D4*0.18)</f>
        <v>607.70000000000005</v>
      </c>
      <c r="F4" s="2">
        <f>E4+(E4*0.05)</f>
        <v>638.08500000000004</v>
      </c>
    </row>
    <row r="5" spans="1:6" ht="13.95" customHeight="1" x14ac:dyDescent="0.3">
      <c r="A5" s="151" t="s">
        <v>4</v>
      </c>
      <c r="B5" s="151"/>
      <c r="C5" s="151"/>
      <c r="D5" s="151"/>
      <c r="E5" s="151"/>
      <c r="F5" s="151"/>
    </row>
    <row r="6" spans="1:6" s="137" customFormat="1" ht="14.4" customHeight="1" x14ac:dyDescent="0.3">
      <c r="A6" s="136" t="s">
        <v>315</v>
      </c>
      <c r="B6" s="135">
        <v>25</v>
      </c>
      <c r="C6" s="149"/>
      <c r="D6" s="136">
        <v>11.52</v>
      </c>
      <c r="E6" s="136">
        <f t="shared" ref="E6:E10" si="0">D6+(D6*0.18)</f>
        <v>13.593599999999999</v>
      </c>
      <c r="F6" s="136">
        <f t="shared" ref="F6:F10" si="1">E6+(E6*0.05)</f>
        <v>14.273279999999998</v>
      </c>
    </row>
    <row r="7" spans="1:6" ht="13.95" customHeight="1" x14ac:dyDescent="0.3">
      <c r="A7" s="2" t="s">
        <v>367</v>
      </c>
      <c r="B7" s="4"/>
      <c r="C7" s="158"/>
      <c r="D7" s="2">
        <v>35.93</v>
      </c>
      <c r="E7" s="2">
        <f>D7+(D7*0.18)</f>
        <v>42.397399999999998</v>
      </c>
      <c r="F7" s="2">
        <f>E7+(E7*0.05)</f>
        <v>44.517269999999996</v>
      </c>
    </row>
    <row r="8" spans="1:6" s="137" customFormat="1" ht="14.4" customHeight="1" x14ac:dyDescent="0.3">
      <c r="A8" s="136" t="s">
        <v>351</v>
      </c>
      <c r="B8" s="135">
        <v>25</v>
      </c>
      <c r="C8" s="158"/>
      <c r="D8" s="136">
        <v>35.880000000000003</v>
      </c>
      <c r="E8" s="136">
        <f t="shared" si="0"/>
        <v>42.3384</v>
      </c>
      <c r="F8" s="136">
        <f t="shared" si="1"/>
        <v>44.45532</v>
      </c>
    </row>
    <row r="9" spans="1:6" s="137" customFormat="1" ht="14.4" customHeight="1" x14ac:dyDescent="0.3">
      <c r="A9" s="136" t="s">
        <v>352</v>
      </c>
      <c r="B9" s="135">
        <v>50</v>
      </c>
      <c r="C9" s="158"/>
      <c r="D9" s="136">
        <v>79.55</v>
      </c>
      <c r="E9" s="136">
        <f t="shared" si="0"/>
        <v>93.869</v>
      </c>
      <c r="F9" s="136">
        <f t="shared" si="1"/>
        <v>98.562449999999998</v>
      </c>
    </row>
    <row r="10" spans="1:6" ht="13.95" customHeight="1" x14ac:dyDescent="0.3">
      <c r="A10" s="2" t="s">
        <v>318</v>
      </c>
      <c r="B10" s="4">
        <v>5</v>
      </c>
      <c r="C10" s="150"/>
      <c r="D10" s="2">
        <v>106</v>
      </c>
      <c r="E10" s="2">
        <f t="shared" si="0"/>
        <v>125.08</v>
      </c>
      <c r="F10" s="2">
        <f t="shared" si="1"/>
        <v>131.334</v>
      </c>
    </row>
    <row r="11" spans="1:6" ht="13.95" customHeight="1" x14ac:dyDescent="0.3">
      <c r="A11" s="151" t="s">
        <v>24</v>
      </c>
      <c r="B11" s="151"/>
      <c r="C11" s="151"/>
      <c r="D11" s="151"/>
      <c r="E11" s="151"/>
      <c r="F11" s="151"/>
    </row>
    <row r="12" spans="1:6" ht="13.95" customHeight="1" x14ac:dyDescent="0.3">
      <c r="A12" s="2" t="s">
        <v>356</v>
      </c>
      <c r="B12" s="4">
        <v>50</v>
      </c>
      <c r="C12" s="4"/>
      <c r="D12" s="2">
        <v>31.4</v>
      </c>
      <c r="E12" s="2">
        <f>D12+(D12*0.18)</f>
        <v>37.052</v>
      </c>
      <c r="F12" s="2">
        <f>E12+(E12*0.05)</f>
        <v>38.904600000000002</v>
      </c>
    </row>
    <row r="13" spans="1:6" ht="13.95" customHeight="1" x14ac:dyDescent="0.3">
      <c r="A13" s="2" t="s">
        <v>357</v>
      </c>
      <c r="B13" s="4">
        <v>50</v>
      </c>
      <c r="C13" s="4"/>
      <c r="D13" s="2">
        <v>66</v>
      </c>
      <c r="E13" s="2">
        <f>D13+(D13*0.18)</f>
        <v>77.88</v>
      </c>
      <c r="F13" s="2">
        <f>E13+(E13*0.05)</f>
        <v>81.774000000000001</v>
      </c>
    </row>
    <row r="14" spans="1:6" ht="13.95" customHeight="1" x14ac:dyDescent="0.3">
      <c r="A14" s="2" t="s">
        <v>358</v>
      </c>
      <c r="B14" s="4">
        <v>50</v>
      </c>
      <c r="C14" s="4"/>
      <c r="D14" s="2">
        <v>80.099999999999994</v>
      </c>
      <c r="E14" s="2">
        <f>D14+(D14*0.18)</f>
        <v>94.518000000000001</v>
      </c>
      <c r="F14" s="2">
        <f>E14+(E14*0.05)</f>
        <v>99.243899999999996</v>
      </c>
    </row>
    <row r="15" spans="1:6" x14ac:dyDescent="0.3">
      <c r="A15" s="151" t="s">
        <v>136</v>
      </c>
      <c r="B15" s="151"/>
      <c r="C15" s="151"/>
      <c r="D15" s="151"/>
      <c r="E15" s="151"/>
      <c r="F15" s="151"/>
    </row>
    <row r="16" spans="1:6" x14ac:dyDescent="0.3">
      <c r="A16" s="2" t="s">
        <v>234</v>
      </c>
      <c r="B16" s="4"/>
      <c r="C16" s="4"/>
      <c r="D16" s="2">
        <v>198</v>
      </c>
      <c r="E16" s="2">
        <f t="shared" ref="E16:E23" si="2">D16+(D16*0.18)</f>
        <v>233.64</v>
      </c>
      <c r="F16" s="2">
        <f t="shared" ref="F16:F23" si="3">E16+(E16*0.05)</f>
        <v>245.32199999999997</v>
      </c>
    </row>
    <row r="17" spans="1:6" x14ac:dyDescent="0.3">
      <c r="A17" s="2" t="s">
        <v>333</v>
      </c>
      <c r="B17" s="4"/>
      <c r="C17" s="4"/>
      <c r="D17" s="2">
        <v>133</v>
      </c>
      <c r="E17" s="2">
        <f t="shared" si="2"/>
        <v>156.94</v>
      </c>
      <c r="F17" s="2">
        <f t="shared" si="3"/>
        <v>164.78700000000001</v>
      </c>
    </row>
    <row r="18" spans="1:6" x14ac:dyDescent="0.3">
      <c r="A18" s="2" t="s">
        <v>332</v>
      </c>
      <c r="B18" s="4"/>
      <c r="C18" s="4"/>
      <c r="D18" s="2">
        <v>242</v>
      </c>
      <c r="E18" s="2">
        <f t="shared" si="2"/>
        <v>285.56</v>
      </c>
      <c r="F18" s="2">
        <f t="shared" si="3"/>
        <v>299.83800000000002</v>
      </c>
    </row>
    <row r="19" spans="1:6" x14ac:dyDescent="0.3">
      <c r="A19" s="2" t="s">
        <v>235</v>
      </c>
      <c r="B19" s="4"/>
      <c r="C19" s="4"/>
      <c r="D19" s="2">
        <v>584</v>
      </c>
      <c r="E19" s="2">
        <f t="shared" si="2"/>
        <v>689.12</v>
      </c>
      <c r="F19" s="2">
        <f t="shared" si="3"/>
        <v>723.57600000000002</v>
      </c>
    </row>
    <row r="20" spans="1:6" x14ac:dyDescent="0.3">
      <c r="A20" s="2" t="s">
        <v>271</v>
      </c>
      <c r="B20" s="4"/>
      <c r="C20" s="4"/>
      <c r="D20" s="2">
        <v>1120</v>
      </c>
      <c r="E20" s="2">
        <f t="shared" si="2"/>
        <v>1321.6</v>
      </c>
      <c r="F20" s="2">
        <f t="shared" si="3"/>
        <v>1387.6799999999998</v>
      </c>
    </row>
    <row r="21" spans="1:6" x14ac:dyDescent="0.3">
      <c r="A21" s="151" t="s">
        <v>301</v>
      </c>
      <c r="B21" s="151"/>
      <c r="C21" s="151"/>
      <c r="D21" s="151"/>
      <c r="E21" s="151"/>
      <c r="F21" s="151"/>
    </row>
    <row r="22" spans="1:6" s="58" customFormat="1" x14ac:dyDescent="0.3">
      <c r="A22" s="2" t="s">
        <v>314</v>
      </c>
      <c r="B22" s="129"/>
      <c r="C22" s="156"/>
      <c r="D22" s="130">
        <v>92</v>
      </c>
      <c r="E22" s="2">
        <f t="shared" si="2"/>
        <v>108.56</v>
      </c>
      <c r="F22" s="2">
        <f t="shared" si="3"/>
        <v>113.988</v>
      </c>
    </row>
    <row r="23" spans="1:6" x14ac:dyDescent="0.3">
      <c r="A23" s="2" t="s">
        <v>300</v>
      </c>
      <c r="B23" s="4"/>
      <c r="C23" s="157"/>
      <c r="D23" s="2">
        <v>248</v>
      </c>
      <c r="E23" s="2">
        <f t="shared" si="2"/>
        <v>292.64</v>
      </c>
      <c r="F23" s="2">
        <f t="shared" si="3"/>
        <v>307.27199999999999</v>
      </c>
    </row>
    <row r="24" spans="1:6" x14ac:dyDescent="0.3">
      <c r="A24" s="151" t="s">
        <v>199</v>
      </c>
      <c r="B24" s="151"/>
      <c r="C24" s="151"/>
      <c r="D24" s="151"/>
      <c r="E24" s="151"/>
      <c r="F24" s="151"/>
    </row>
    <row r="25" spans="1:6" x14ac:dyDescent="0.3">
      <c r="A25" s="85" t="s">
        <v>200</v>
      </c>
      <c r="B25" s="87">
        <v>50</v>
      </c>
      <c r="C25" s="87"/>
      <c r="D25" s="2">
        <v>12.9</v>
      </c>
      <c r="E25" s="2">
        <f t="shared" ref="E25:E49" si="4">D25+(D25*0.18)</f>
        <v>15.222000000000001</v>
      </c>
      <c r="F25" s="2">
        <f t="shared" ref="F25:F49" si="5">E25+(E25*0.05)</f>
        <v>15.983100000000002</v>
      </c>
    </row>
    <row r="26" spans="1:6" x14ac:dyDescent="0.3">
      <c r="A26" s="85" t="s">
        <v>201</v>
      </c>
      <c r="B26" s="87">
        <v>50</v>
      </c>
      <c r="C26" s="87"/>
      <c r="D26" s="2">
        <v>12.5</v>
      </c>
      <c r="E26" s="2">
        <f t="shared" si="4"/>
        <v>14.75</v>
      </c>
      <c r="F26" s="2">
        <f t="shared" si="5"/>
        <v>15.487500000000001</v>
      </c>
    </row>
    <row r="27" spans="1:6" x14ac:dyDescent="0.3">
      <c r="A27" s="85" t="s">
        <v>202</v>
      </c>
      <c r="B27" s="87">
        <v>50</v>
      </c>
      <c r="C27" s="87"/>
      <c r="D27" s="2">
        <v>12.8</v>
      </c>
      <c r="E27" s="2">
        <f t="shared" si="4"/>
        <v>15.104000000000001</v>
      </c>
      <c r="F27" s="2">
        <f t="shared" si="5"/>
        <v>15.859200000000001</v>
      </c>
    </row>
    <row r="28" spans="1:6" x14ac:dyDescent="0.3">
      <c r="A28" s="85" t="s">
        <v>231</v>
      </c>
      <c r="B28" s="87">
        <v>50</v>
      </c>
      <c r="C28" s="87"/>
      <c r="D28" s="2">
        <v>14.4</v>
      </c>
      <c r="E28" s="2">
        <f t="shared" si="4"/>
        <v>16.992000000000001</v>
      </c>
      <c r="F28" s="2">
        <f t="shared" si="5"/>
        <v>17.8416</v>
      </c>
    </row>
    <row r="29" spans="1:6" x14ac:dyDescent="0.3">
      <c r="A29" s="85" t="s">
        <v>203</v>
      </c>
      <c r="B29" s="87">
        <v>50</v>
      </c>
      <c r="C29" s="87"/>
      <c r="D29" s="2">
        <v>13.1</v>
      </c>
      <c r="E29" s="2">
        <f t="shared" si="4"/>
        <v>15.457999999999998</v>
      </c>
      <c r="F29" s="2">
        <f t="shared" si="5"/>
        <v>16.230899999999998</v>
      </c>
    </row>
    <row r="30" spans="1:6" x14ac:dyDescent="0.3">
      <c r="A30" s="85" t="s">
        <v>204</v>
      </c>
      <c r="B30" s="87">
        <v>50</v>
      </c>
      <c r="C30" s="87"/>
      <c r="D30" s="2">
        <v>12.8</v>
      </c>
      <c r="E30" s="2">
        <f t="shared" si="4"/>
        <v>15.104000000000001</v>
      </c>
      <c r="F30" s="2">
        <f t="shared" si="5"/>
        <v>15.859200000000001</v>
      </c>
    </row>
    <row r="31" spans="1:6" x14ac:dyDescent="0.3">
      <c r="A31" s="85" t="s">
        <v>205</v>
      </c>
      <c r="B31" s="87">
        <v>50</v>
      </c>
      <c r="C31" s="87"/>
      <c r="D31" s="2">
        <v>12.8</v>
      </c>
      <c r="E31" s="2">
        <f t="shared" si="4"/>
        <v>15.104000000000001</v>
      </c>
      <c r="F31" s="2">
        <f t="shared" si="5"/>
        <v>15.859200000000001</v>
      </c>
    </row>
    <row r="32" spans="1:6" x14ac:dyDescent="0.3">
      <c r="A32" s="85" t="s">
        <v>206</v>
      </c>
      <c r="B32" s="87">
        <v>50</v>
      </c>
      <c r="C32" s="87"/>
      <c r="D32" s="2">
        <v>14.1</v>
      </c>
      <c r="E32" s="2">
        <f t="shared" si="4"/>
        <v>16.637999999999998</v>
      </c>
      <c r="F32" s="2">
        <f t="shared" si="5"/>
        <v>17.469899999999999</v>
      </c>
    </row>
    <row r="33" spans="1:6" x14ac:dyDescent="0.3">
      <c r="A33" s="85" t="s">
        <v>207</v>
      </c>
      <c r="B33" s="87">
        <v>50</v>
      </c>
      <c r="C33" s="87"/>
      <c r="D33" s="2">
        <v>13.3</v>
      </c>
      <c r="E33" s="2">
        <f t="shared" si="4"/>
        <v>15.694000000000001</v>
      </c>
      <c r="F33" s="2">
        <f t="shared" si="5"/>
        <v>16.4787</v>
      </c>
    </row>
    <row r="34" spans="1:6" x14ac:dyDescent="0.3">
      <c r="A34" s="151" t="s">
        <v>219</v>
      </c>
      <c r="B34" s="151"/>
      <c r="C34" s="151"/>
      <c r="D34" s="151"/>
      <c r="E34" s="151"/>
      <c r="F34" s="151"/>
    </row>
    <row r="35" spans="1:6" x14ac:dyDescent="0.3">
      <c r="A35" s="86" t="s">
        <v>218</v>
      </c>
      <c r="B35" s="88">
        <v>50</v>
      </c>
      <c r="C35" s="88"/>
      <c r="D35" s="2">
        <v>31</v>
      </c>
      <c r="E35" s="2">
        <f t="shared" si="4"/>
        <v>36.58</v>
      </c>
      <c r="F35" s="2">
        <f t="shared" si="5"/>
        <v>38.408999999999999</v>
      </c>
    </row>
    <row r="36" spans="1:6" x14ac:dyDescent="0.3">
      <c r="A36" s="86" t="s">
        <v>217</v>
      </c>
      <c r="B36" s="88">
        <v>50</v>
      </c>
      <c r="C36" s="88"/>
      <c r="D36" s="2">
        <v>27.7</v>
      </c>
      <c r="E36" s="2">
        <f t="shared" si="4"/>
        <v>32.686</v>
      </c>
      <c r="F36" s="2">
        <f t="shared" si="5"/>
        <v>34.320300000000003</v>
      </c>
    </row>
    <row r="37" spans="1:6" x14ac:dyDescent="0.3">
      <c r="A37" s="86" t="s">
        <v>216</v>
      </c>
      <c r="B37" s="88">
        <v>50</v>
      </c>
      <c r="C37" s="88"/>
      <c r="D37" s="2">
        <v>26.5</v>
      </c>
      <c r="E37" s="2">
        <f t="shared" si="4"/>
        <v>31.27</v>
      </c>
      <c r="F37" s="2">
        <f t="shared" si="5"/>
        <v>32.833500000000001</v>
      </c>
    </row>
    <row r="38" spans="1:6" x14ac:dyDescent="0.3">
      <c r="A38" s="86" t="s">
        <v>215</v>
      </c>
      <c r="B38" s="88">
        <v>50</v>
      </c>
      <c r="C38" s="88"/>
      <c r="D38" s="2">
        <v>26</v>
      </c>
      <c r="E38" s="2">
        <f t="shared" si="4"/>
        <v>30.68</v>
      </c>
      <c r="F38" s="2">
        <f t="shared" si="5"/>
        <v>32.213999999999999</v>
      </c>
    </row>
    <row r="39" spans="1:6" x14ac:dyDescent="0.3">
      <c r="A39" s="86" t="s">
        <v>214</v>
      </c>
      <c r="B39" s="88">
        <v>50</v>
      </c>
      <c r="C39" s="88"/>
      <c r="D39" s="2">
        <v>24</v>
      </c>
      <c r="E39" s="2">
        <f t="shared" si="4"/>
        <v>28.32</v>
      </c>
      <c r="F39" s="2">
        <f t="shared" si="5"/>
        <v>29.736000000000001</v>
      </c>
    </row>
    <row r="40" spans="1:6" x14ac:dyDescent="0.3">
      <c r="A40" s="86" t="s">
        <v>213</v>
      </c>
      <c r="B40" s="88">
        <v>50</v>
      </c>
      <c r="C40" s="88"/>
      <c r="D40" s="2">
        <v>24.2</v>
      </c>
      <c r="E40" s="2">
        <f t="shared" si="4"/>
        <v>28.555999999999997</v>
      </c>
      <c r="F40" s="2">
        <f t="shared" si="5"/>
        <v>29.983799999999999</v>
      </c>
    </row>
    <row r="41" spans="1:6" x14ac:dyDescent="0.3">
      <c r="A41" s="151" t="s">
        <v>250</v>
      </c>
      <c r="B41" s="151"/>
      <c r="C41" s="151"/>
      <c r="D41" s="151"/>
      <c r="E41" s="151"/>
      <c r="F41" s="151"/>
    </row>
    <row r="42" spans="1:6" x14ac:dyDescent="0.3">
      <c r="A42" s="106" t="s">
        <v>249</v>
      </c>
      <c r="B42" s="4"/>
      <c r="C42" s="4"/>
      <c r="D42" s="2">
        <v>105</v>
      </c>
      <c r="E42" s="2">
        <f t="shared" si="4"/>
        <v>123.9</v>
      </c>
      <c r="F42" s="2">
        <f t="shared" si="5"/>
        <v>130.095</v>
      </c>
    </row>
    <row r="43" spans="1:6" x14ac:dyDescent="0.3">
      <c r="A43" s="151" t="s">
        <v>316</v>
      </c>
      <c r="B43" s="151"/>
      <c r="C43" s="151"/>
      <c r="D43" s="151"/>
      <c r="E43" s="151"/>
      <c r="F43" s="151"/>
    </row>
    <row r="44" spans="1:6" x14ac:dyDescent="0.3">
      <c r="A44" s="106" t="s">
        <v>317</v>
      </c>
      <c r="B44" s="4"/>
      <c r="C44" s="4"/>
      <c r="D44" s="2">
        <v>1760</v>
      </c>
      <c r="E44" s="2">
        <f t="shared" si="4"/>
        <v>2076.8000000000002</v>
      </c>
      <c r="F44" s="2">
        <f t="shared" si="5"/>
        <v>2180.6400000000003</v>
      </c>
    </row>
    <row r="45" spans="1:6" x14ac:dyDescent="0.3">
      <c r="A45" s="151" t="s">
        <v>269</v>
      </c>
      <c r="B45" s="151"/>
      <c r="C45" s="151"/>
      <c r="D45" s="151"/>
      <c r="E45" s="151"/>
      <c r="F45" s="151"/>
    </row>
    <row r="46" spans="1:6" x14ac:dyDescent="0.3">
      <c r="A46" s="106" t="s">
        <v>268</v>
      </c>
      <c r="B46" s="4"/>
      <c r="C46" s="4"/>
      <c r="D46" s="2">
        <v>830</v>
      </c>
      <c r="E46" s="2">
        <f t="shared" si="4"/>
        <v>979.4</v>
      </c>
      <c r="F46" s="2">
        <f t="shared" si="5"/>
        <v>1028.3699999999999</v>
      </c>
    </row>
    <row r="47" spans="1:6" x14ac:dyDescent="0.3">
      <c r="A47" s="106" t="s">
        <v>278</v>
      </c>
      <c r="B47" s="4"/>
      <c r="C47" s="4"/>
      <c r="D47" s="2">
        <v>770</v>
      </c>
      <c r="E47" s="2">
        <f t="shared" si="4"/>
        <v>908.6</v>
      </c>
      <c r="F47" s="2">
        <f t="shared" si="5"/>
        <v>954.03</v>
      </c>
    </row>
    <row r="48" spans="1:6" x14ac:dyDescent="0.3">
      <c r="A48" s="152" t="s">
        <v>7</v>
      </c>
      <c r="B48" s="152"/>
      <c r="C48" s="152"/>
      <c r="D48" s="152"/>
      <c r="E48" s="152"/>
      <c r="F48" s="152"/>
    </row>
    <row r="49" spans="1:6" x14ac:dyDescent="0.3">
      <c r="A49" s="106" t="s">
        <v>360</v>
      </c>
      <c r="B49" s="4">
        <v>50</v>
      </c>
      <c r="C49" s="153"/>
      <c r="D49" s="2">
        <v>23.8</v>
      </c>
      <c r="E49" s="2">
        <f t="shared" si="4"/>
        <v>28.084</v>
      </c>
      <c r="F49" s="2">
        <f t="shared" si="5"/>
        <v>29.488199999999999</v>
      </c>
    </row>
    <row r="50" spans="1:6" x14ac:dyDescent="0.3">
      <c r="A50" s="106" t="s">
        <v>359</v>
      </c>
      <c r="B50" s="4">
        <v>50</v>
      </c>
      <c r="C50" s="154"/>
      <c r="D50" s="2">
        <v>49.85</v>
      </c>
      <c r="E50" s="2">
        <f>D50+(D50*0.18)</f>
        <v>58.823</v>
      </c>
      <c r="F50" s="2">
        <f>E50+(E50*0.05)</f>
        <v>61.764150000000001</v>
      </c>
    </row>
    <row r="51" spans="1:6" x14ac:dyDescent="0.3">
      <c r="A51" s="138" t="s">
        <v>361</v>
      </c>
      <c r="B51" s="17">
        <v>50</v>
      </c>
      <c r="C51" s="155"/>
      <c r="D51" s="19">
        <v>112</v>
      </c>
      <c r="E51" s="19">
        <f>D51+(D51*0.18)</f>
        <v>132.16</v>
      </c>
      <c r="F51" s="19">
        <f>E51+(E51*0.05)</f>
        <v>138.768</v>
      </c>
    </row>
    <row r="52" spans="1:6" x14ac:dyDescent="0.3">
      <c r="A52" s="151" t="s">
        <v>363</v>
      </c>
      <c r="B52" s="151"/>
      <c r="C52" s="151"/>
      <c r="D52" s="151"/>
      <c r="E52" s="151"/>
      <c r="F52" s="151"/>
    </row>
    <row r="53" spans="1:6" x14ac:dyDescent="0.3">
      <c r="A53" s="106" t="s">
        <v>362</v>
      </c>
      <c r="B53" s="4"/>
      <c r="C53" s="4"/>
      <c r="D53" s="2">
        <v>388</v>
      </c>
      <c r="E53" s="2">
        <f>D53+(D53*0.18)</f>
        <v>457.84000000000003</v>
      </c>
      <c r="F53" s="2">
        <f>E53+(E53*0.05)</f>
        <v>480.73200000000003</v>
      </c>
    </row>
  </sheetData>
  <mergeCells count="15">
    <mergeCell ref="A52:F52"/>
    <mergeCell ref="A48:F48"/>
    <mergeCell ref="A45:F45"/>
    <mergeCell ref="A2:F2"/>
    <mergeCell ref="A15:F15"/>
    <mergeCell ref="A24:F24"/>
    <mergeCell ref="A34:F34"/>
    <mergeCell ref="A41:F41"/>
    <mergeCell ref="A21:F21"/>
    <mergeCell ref="A5:F5"/>
    <mergeCell ref="A43:F43"/>
    <mergeCell ref="A11:F11"/>
    <mergeCell ref="C49:C51"/>
    <mergeCell ref="C22:C23"/>
    <mergeCell ref="C6:C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C569-8690-44BB-87DA-9A62B19C1FAA}">
  <dimension ref="A1:E20"/>
  <sheetViews>
    <sheetView workbookViewId="0">
      <selection activeCell="D1" sqref="D1:D1048576"/>
    </sheetView>
  </sheetViews>
  <sheetFormatPr defaultRowHeight="14.4" x14ac:dyDescent="0.3"/>
  <cols>
    <col min="1" max="1" width="21.21875" customWidth="1"/>
    <col min="2" max="2" width="6.88671875" hidden="1" customWidth="1"/>
    <col min="3" max="3" width="8.77734375" style="3" hidden="1" customWidth="1"/>
  </cols>
  <sheetData>
    <row r="1" spans="1:5" x14ac:dyDescent="0.3">
      <c r="A1" s="9" t="s">
        <v>0</v>
      </c>
      <c r="B1" s="1" t="s">
        <v>1</v>
      </c>
      <c r="C1" s="1" t="s">
        <v>2</v>
      </c>
    </row>
    <row r="2" spans="1:5" x14ac:dyDescent="0.3">
      <c r="A2" s="159" t="s">
        <v>127</v>
      </c>
      <c r="B2" s="159"/>
      <c r="C2" s="159"/>
    </row>
    <row r="3" spans="1:5" x14ac:dyDescent="0.3">
      <c r="A3" s="2" t="s">
        <v>126</v>
      </c>
      <c r="B3" s="4">
        <v>75</v>
      </c>
      <c r="C3" s="4">
        <f>B3+(B3*0.2)</f>
        <v>90</v>
      </c>
      <c r="E3" t="s">
        <v>164</v>
      </c>
    </row>
    <row r="4" spans="1:5" x14ac:dyDescent="0.3">
      <c r="A4" s="2" t="s">
        <v>125</v>
      </c>
      <c r="B4" s="4">
        <v>75</v>
      </c>
      <c r="C4" s="4">
        <f>B4+(B4*0.2)</f>
        <v>90</v>
      </c>
    </row>
    <row r="5" spans="1:5" x14ac:dyDescent="0.3">
      <c r="A5" s="2" t="s">
        <v>124</v>
      </c>
      <c r="B5" s="4"/>
      <c r="C5" s="4"/>
    </row>
    <row r="6" spans="1:5" x14ac:dyDescent="0.3">
      <c r="A6" s="160" t="s">
        <v>123</v>
      </c>
      <c r="B6" s="160"/>
      <c r="C6" s="160"/>
    </row>
    <row r="7" spans="1:5" x14ac:dyDescent="0.3">
      <c r="A7" s="2" t="s">
        <v>122</v>
      </c>
      <c r="B7" s="4"/>
      <c r="C7" s="4"/>
    </row>
    <row r="8" spans="1:5" x14ac:dyDescent="0.3">
      <c r="A8" s="2" t="s">
        <v>121</v>
      </c>
      <c r="B8" s="4"/>
      <c r="C8" s="4"/>
    </row>
    <row r="9" spans="1:5" x14ac:dyDescent="0.3">
      <c r="A9" s="2" t="s">
        <v>120</v>
      </c>
      <c r="B9" s="4">
        <v>135</v>
      </c>
      <c r="C9" s="4">
        <f>B9+(B9*0.2)</f>
        <v>162</v>
      </c>
    </row>
    <row r="10" spans="1:5" x14ac:dyDescent="0.3">
      <c r="A10" s="2" t="s">
        <v>119</v>
      </c>
      <c r="B10" s="4">
        <v>135</v>
      </c>
      <c r="C10" s="4">
        <f>B10+(B10*0.2)</f>
        <v>162</v>
      </c>
    </row>
    <row r="11" spans="1:5" x14ac:dyDescent="0.3">
      <c r="A11" s="160" t="s">
        <v>118</v>
      </c>
      <c r="B11" s="160"/>
      <c r="C11" s="160"/>
    </row>
    <row r="12" spans="1:5" x14ac:dyDescent="0.3">
      <c r="A12" s="2" t="s">
        <v>117</v>
      </c>
      <c r="B12" s="4">
        <v>165</v>
      </c>
      <c r="C12" s="4">
        <f>B12+(B12*0.2)</f>
        <v>198</v>
      </c>
    </row>
    <row r="13" spans="1:5" x14ac:dyDescent="0.3">
      <c r="A13" s="2" t="s">
        <v>116</v>
      </c>
      <c r="B13" s="4">
        <v>165</v>
      </c>
      <c r="C13" s="4">
        <f>B13+(B13*0.2)</f>
        <v>198</v>
      </c>
    </row>
    <row r="14" spans="1:5" x14ac:dyDescent="0.3">
      <c r="A14" s="2" t="s">
        <v>115</v>
      </c>
      <c r="B14" s="4"/>
      <c r="C14" s="4"/>
    </row>
    <row r="15" spans="1:5" x14ac:dyDescent="0.3">
      <c r="A15" s="2" t="s">
        <v>114</v>
      </c>
      <c r="B15" s="4"/>
      <c r="C15" s="4"/>
    </row>
    <row r="16" spans="1:5" x14ac:dyDescent="0.3">
      <c r="A16" s="160" t="s">
        <v>113</v>
      </c>
      <c r="B16" s="160"/>
      <c r="C16" s="160"/>
    </row>
    <row r="17" spans="1:3" x14ac:dyDescent="0.3">
      <c r="A17" s="2" t="s">
        <v>112</v>
      </c>
      <c r="B17" s="4"/>
      <c r="C17" s="4"/>
    </row>
    <row r="18" spans="1:3" x14ac:dyDescent="0.3">
      <c r="A18" s="2" t="s">
        <v>111</v>
      </c>
      <c r="B18" s="4"/>
      <c r="C18" s="4"/>
    </row>
    <row r="19" spans="1:3" x14ac:dyDescent="0.3">
      <c r="A19" s="2" t="s">
        <v>110</v>
      </c>
      <c r="B19" s="4"/>
      <c r="C19" s="4"/>
    </row>
    <row r="20" spans="1:3" x14ac:dyDescent="0.3">
      <c r="A20" s="2" t="s">
        <v>109</v>
      </c>
      <c r="B20" s="4"/>
      <c r="C20" s="4"/>
    </row>
  </sheetData>
  <mergeCells count="4">
    <mergeCell ref="A2:C2"/>
    <mergeCell ref="A6:C6"/>
    <mergeCell ref="A11:C11"/>
    <mergeCell ref="A16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1F4B-F61F-454D-BFEF-7E025812D6C4}">
  <sheetPr>
    <tabColor theme="4" tint="0.79998168889431442"/>
  </sheetPr>
  <dimension ref="A1:D3"/>
  <sheetViews>
    <sheetView workbookViewId="0">
      <selection activeCell="E1" sqref="E1:E1048576"/>
    </sheetView>
  </sheetViews>
  <sheetFormatPr defaultRowHeight="14.4" x14ac:dyDescent="0.3"/>
  <cols>
    <col min="1" max="1" width="37.6640625" customWidth="1"/>
    <col min="2" max="2" width="8.88671875" hidden="1" customWidth="1"/>
    <col min="3" max="3" width="8.88671875" style="3"/>
    <col min="4" max="4" width="8.88671875" hidden="1" customWidth="1"/>
  </cols>
  <sheetData>
    <row r="1" spans="1:4" x14ac:dyDescent="0.3">
      <c r="A1" s="9" t="s">
        <v>0</v>
      </c>
      <c r="B1" s="9" t="s">
        <v>76</v>
      </c>
      <c r="C1" s="1" t="s">
        <v>77</v>
      </c>
      <c r="D1" s="9" t="s">
        <v>2</v>
      </c>
    </row>
    <row r="2" spans="1:4" x14ac:dyDescent="0.3">
      <c r="A2" s="161" t="s">
        <v>78</v>
      </c>
      <c r="B2" s="161"/>
      <c r="C2" s="161"/>
      <c r="D2" s="161"/>
    </row>
    <row r="3" spans="1:4" x14ac:dyDescent="0.3">
      <c r="A3" s="2" t="s">
        <v>321</v>
      </c>
      <c r="B3" s="2">
        <v>102</v>
      </c>
      <c r="C3" s="4">
        <v>20</v>
      </c>
      <c r="D3" s="2">
        <f>B3+(B3*0.05)</f>
        <v>107.1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4B80-E1E0-4EF8-8D03-9D4B1FEA768B}">
  <sheetPr>
    <tabColor theme="7" tint="0.39997558519241921"/>
  </sheetPr>
  <dimension ref="A1:E15"/>
  <sheetViews>
    <sheetView workbookViewId="0">
      <selection activeCell="F1" sqref="F1:F1048576"/>
    </sheetView>
  </sheetViews>
  <sheetFormatPr defaultRowHeight="14.4" x14ac:dyDescent="0.3"/>
  <cols>
    <col min="1" max="1" width="39.5546875" customWidth="1"/>
    <col min="2" max="2" width="10.21875" style="3" customWidth="1"/>
    <col min="3" max="5" width="8.88671875" hidden="1" customWidth="1"/>
  </cols>
  <sheetData>
    <row r="1" spans="1:5" x14ac:dyDescent="0.3">
      <c r="A1" s="9" t="s">
        <v>0</v>
      </c>
      <c r="B1" s="1" t="s">
        <v>148</v>
      </c>
      <c r="C1" s="9" t="s">
        <v>1</v>
      </c>
      <c r="D1" s="9" t="s">
        <v>62</v>
      </c>
      <c r="E1" s="9" t="s">
        <v>2</v>
      </c>
    </row>
    <row r="2" spans="1:5" x14ac:dyDescent="0.3">
      <c r="A2" s="163" t="s">
        <v>4</v>
      </c>
      <c r="B2" s="163"/>
      <c r="C2" s="163"/>
      <c r="D2" s="163"/>
      <c r="E2" s="163"/>
    </row>
    <row r="3" spans="1:5" x14ac:dyDescent="0.3">
      <c r="A3" s="162" t="s">
        <v>146</v>
      </c>
      <c r="B3" s="162"/>
      <c r="C3" s="162"/>
      <c r="D3" s="162"/>
      <c r="E3" s="162"/>
    </row>
    <row r="4" spans="1:5" x14ac:dyDescent="0.3">
      <c r="A4" s="2" t="s">
        <v>147</v>
      </c>
      <c r="B4" s="4">
        <v>800</v>
      </c>
      <c r="C4" s="2">
        <v>8.4700000000000006</v>
      </c>
      <c r="D4" s="2">
        <f>C4+(C4*0.18)</f>
        <v>9.9946000000000002</v>
      </c>
      <c r="E4" s="2">
        <f>D4+(D4*0.05)</f>
        <v>10.49433</v>
      </c>
    </row>
    <row r="5" spans="1:5" x14ac:dyDescent="0.3">
      <c r="A5" s="2" t="s">
        <v>265</v>
      </c>
      <c r="B5" s="4">
        <v>500</v>
      </c>
      <c r="C5" s="2">
        <v>7.63</v>
      </c>
      <c r="D5" s="2">
        <f>C5+(C5*0.18)</f>
        <v>9.0033999999999992</v>
      </c>
      <c r="E5" s="2">
        <f>D5+(D5*0.05)</f>
        <v>9.4535699999999991</v>
      </c>
    </row>
    <row r="6" spans="1:5" x14ac:dyDescent="0.3">
      <c r="A6" s="2" t="s">
        <v>149</v>
      </c>
      <c r="B6" s="4">
        <v>25</v>
      </c>
      <c r="C6" s="2">
        <v>105</v>
      </c>
      <c r="D6" s="2">
        <f t="shared" ref="D6:D9" si="0">C6+(C6*0.18)</f>
        <v>123.9</v>
      </c>
      <c r="E6" s="2">
        <f t="shared" ref="E6:E9" si="1">D6+(D6*0.05)</f>
        <v>130.095</v>
      </c>
    </row>
    <row r="7" spans="1:5" x14ac:dyDescent="0.3">
      <c r="A7" s="2" t="s">
        <v>264</v>
      </c>
      <c r="B7" s="4">
        <v>25</v>
      </c>
      <c r="C7" s="2">
        <v>98</v>
      </c>
      <c r="D7" s="2">
        <f t="shared" si="0"/>
        <v>115.64</v>
      </c>
      <c r="E7" s="2">
        <f t="shared" si="1"/>
        <v>121.422</v>
      </c>
    </row>
    <row r="8" spans="1:5" x14ac:dyDescent="0.3">
      <c r="A8" s="164" t="s">
        <v>150</v>
      </c>
      <c r="B8" s="164"/>
      <c r="C8" s="164"/>
      <c r="D8" s="164"/>
      <c r="E8" s="164"/>
    </row>
    <row r="9" spans="1:5" x14ac:dyDescent="0.3">
      <c r="A9" s="2" t="s">
        <v>151</v>
      </c>
      <c r="B9" s="4">
        <v>30</v>
      </c>
      <c r="C9" s="2">
        <v>112</v>
      </c>
      <c r="D9" s="2">
        <f t="shared" si="0"/>
        <v>132.16</v>
      </c>
      <c r="E9" s="2">
        <f t="shared" si="1"/>
        <v>138.768</v>
      </c>
    </row>
    <row r="10" spans="1:5" x14ac:dyDescent="0.3">
      <c r="A10" s="162" t="s">
        <v>63</v>
      </c>
      <c r="B10" s="162"/>
      <c r="C10" s="162"/>
      <c r="D10" s="162"/>
      <c r="E10" s="162"/>
    </row>
    <row r="11" spans="1:5" x14ac:dyDescent="0.3">
      <c r="A11" s="163" t="s">
        <v>172</v>
      </c>
      <c r="B11" s="163"/>
      <c r="C11" s="163"/>
      <c r="D11" s="163"/>
      <c r="E11" s="163"/>
    </row>
    <row r="12" spans="1:5" x14ac:dyDescent="0.3">
      <c r="A12" s="57" t="s">
        <v>302</v>
      </c>
      <c r="B12" s="4" t="s">
        <v>174</v>
      </c>
      <c r="C12" s="4">
        <v>33.15</v>
      </c>
      <c r="D12" s="2">
        <f>C12+(C12*0.18)</f>
        <v>39.116999999999997</v>
      </c>
      <c r="E12" s="2">
        <f>D12+(D12*0.05)</f>
        <v>41.072849999999995</v>
      </c>
    </row>
    <row r="13" spans="1:5" x14ac:dyDescent="0.3">
      <c r="A13" s="2" t="s">
        <v>173</v>
      </c>
      <c r="B13" s="4" t="s">
        <v>174</v>
      </c>
      <c r="C13" s="2">
        <v>31.45</v>
      </c>
      <c r="D13" s="2">
        <f>C13+(C13*0.18)</f>
        <v>37.110999999999997</v>
      </c>
      <c r="E13" s="2">
        <f>D13+(D13*0.05)</f>
        <v>38.966549999999998</v>
      </c>
    </row>
    <row r="14" spans="1:5" x14ac:dyDescent="0.3">
      <c r="A14" s="162" t="s">
        <v>175</v>
      </c>
      <c r="B14" s="162"/>
      <c r="C14" s="162"/>
      <c r="D14" s="162"/>
      <c r="E14" s="162"/>
    </row>
    <row r="15" spans="1:5" x14ac:dyDescent="0.3">
      <c r="A15" s="2" t="s">
        <v>176</v>
      </c>
      <c r="B15" s="4" t="s">
        <v>177</v>
      </c>
      <c r="C15" s="2">
        <v>23</v>
      </c>
      <c r="D15" s="2">
        <f>C15+(C15*0.18)</f>
        <v>27.14</v>
      </c>
      <c r="E15" s="2">
        <f>D15+(D15*0.05)</f>
        <v>28.497</v>
      </c>
    </row>
  </sheetData>
  <mergeCells count="6">
    <mergeCell ref="A14:E14"/>
    <mergeCell ref="A2:E2"/>
    <mergeCell ref="A3:E3"/>
    <mergeCell ref="A8:E8"/>
    <mergeCell ref="A10:E10"/>
    <mergeCell ref="A11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EB4A-522F-4225-B1B1-2CAF15625064}">
  <sheetPr>
    <tabColor theme="4" tint="0.39997558519241921"/>
  </sheetPr>
  <dimension ref="A1:E4"/>
  <sheetViews>
    <sheetView workbookViewId="0">
      <selection activeCell="F1" sqref="F1:F1048576"/>
    </sheetView>
  </sheetViews>
  <sheetFormatPr defaultRowHeight="14.4" x14ac:dyDescent="0.3"/>
  <cols>
    <col min="1" max="1" width="33.6640625" customWidth="1"/>
    <col min="2" max="2" width="18" style="3" customWidth="1"/>
    <col min="3" max="3" width="13.88671875" style="122" customWidth="1"/>
    <col min="4" max="5" width="8.88671875" hidden="1" customWidth="1"/>
  </cols>
  <sheetData>
    <row r="1" spans="1:5" x14ac:dyDescent="0.3">
      <c r="A1" s="123" t="s">
        <v>0</v>
      </c>
      <c r="B1" s="101" t="s">
        <v>348</v>
      </c>
      <c r="C1" s="123" t="s">
        <v>256</v>
      </c>
      <c r="D1" s="104" t="s">
        <v>1</v>
      </c>
      <c r="E1" s="104" t="s">
        <v>2</v>
      </c>
    </row>
    <row r="2" spans="1:5" x14ac:dyDescent="0.3">
      <c r="A2" s="147" t="s">
        <v>257</v>
      </c>
      <c r="B2" s="148"/>
      <c r="C2" s="147"/>
      <c r="D2" s="147"/>
      <c r="E2" s="147"/>
    </row>
    <row r="3" spans="1:5" s="137" customFormat="1" ht="34.950000000000003" customHeight="1" x14ac:dyDescent="0.3">
      <c r="A3" s="143" t="s">
        <v>259</v>
      </c>
      <c r="B3" s="149"/>
      <c r="C3" s="145" t="s">
        <v>258</v>
      </c>
      <c r="D3" s="142">
        <v>675</v>
      </c>
      <c r="E3" s="141">
        <f>D3+(D3*0.05)</f>
        <v>708.75</v>
      </c>
    </row>
    <row r="4" spans="1:5" s="137" customFormat="1" ht="34.950000000000003" customHeight="1" x14ac:dyDescent="0.3">
      <c r="A4" s="143" t="s">
        <v>298</v>
      </c>
      <c r="B4" s="150"/>
      <c r="C4" s="146" t="s">
        <v>299</v>
      </c>
      <c r="D4" s="136">
        <v>1200</v>
      </c>
      <c r="E4" s="144">
        <f>D4+(D4*0.05)</f>
        <v>1260</v>
      </c>
    </row>
  </sheetData>
  <mergeCells count="2">
    <mergeCell ref="A2:E2"/>
    <mergeCell ref="B3:B4"/>
  </mergeCells>
  <pageMargins left="0.7" right="0.7" top="0.75" bottom="0.75" header="0.3" footer="0.3"/>
  <pageSetup paperSize="256"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8134-6CE7-401D-9E94-740A6A3226E4}">
  <sheetPr>
    <tabColor theme="4" tint="-0.249977111117893"/>
  </sheetPr>
  <dimension ref="A1:D20"/>
  <sheetViews>
    <sheetView workbookViewId="0">
      <selection activeCell="E1" sqref="E1:E1048576"/>
    </sheetView>
  </sheetViews>
  <sheetFormatPr defaultRowHeight="14.4" x14ac:dyDescent="0.3"/>
  <cols>
    <col min="1" max="1" width="31.21875" customWidth="1"/>
    <col min="2" max="3" width="8.88671875" hidden="1" customWidth="1"/>
    <col min="4" max="4" width="8.88671875" style="3" customWidth="1"/>
  </cols>
  <sheetData>
    <row r="1" spans="1:4" ht="15" thickBot="1" x14ac:dyDescent="0.35">
      <c r="A1" s="5" t="s">
        <v>0</v>
      </c>
      <c r="B1" s="5" t="s">
        <v>1</v>
      </c>
      <c r="C1" s="5" t="s">
        <v>2</v>
      </c>
      <c r="D1" s="5" t="s">
        <v>73</v>
      </c>
    </row>
    <row r="2" spans="1:4" x14ac:dyDescent="0.3">
      <c r="A2" s="165" t="s">
        <v>8</v>
      </c>
      <c r="B2" s="166"/>
      <c r="C2" s="166"/>
      <c r="D2" s="167"/>
    </row>
    <row r="3" spans="1:4" x14ac:dyDescent="0.3">
      <c r="A3" s="168" t="s">
        <v>11</v>
      </c>
      <c r="B3" s="163"/>
      <c r="C3" s="163"/>
      <c r="D3" s="169"/>
    </row>
    <row r="4" spans="1:4" x14ac:dyDescent="0.3">
      <c r="A4" s="6" t="s">
        <v>9</v>
      </c>
      <c r="B4" s="2">
        <v>7.9</v>
      </c>
      <c r="C4" s="2">
        <f>B4+(B4*0.05)</f>
        <v>8.2949999999999999</v>
      </c>
      <c r="D4" s="78"/>
    </row>
    <row r="5" spans="1:4" x14ac:dyDescent="0.3">
      <c r="A5" s="170" t="s">
        <v>10</v>
      </c>
      <c r="B5" s="171"/>
      <c r="C5" s="171"/>
      <c r="D5" s="172"/>
    </row>
    <row r="6" spans="1:4" ht="15" thickBot="1" x14ac:dyDescent="0.35">
      <c r="A6" s="7" t="s">
        <v>9</v>
      </c>
      <c r="B6" s="8">
        <v>9.1999999999999993</v>
      </c>
      <c r="C6" s="8">
        <f>B6+(B6*0.05)</f>
        <v>9.66</v>
      </c>
      <c r="D6" s="79">
        <v>800</v>
      </c>
    </row>
    <row r="7" spans="1:4" ht="15" thickBot="1" x14ac:dyDescent="0.35">
      <c r="A7" s="7" t="s">
        <v>350</v>
      </c>
      <c r="B7" s="19">
        <v>111.9</v>
      </c>
      <c r="C7" s="19"/>
      <c r="D7" s="80">
        <v>50</v>
      </c>
    </row>
    <row r="8" spans="1:4" x14ac:dyDescent="0.3">
      <c r="A8" s="170" t="s">
        <v>128</v>
      </c>
      <c r="B8" s="171"/>
      <c r="C8" s="171"/>
      <c r="D8" s="172"/>
    </row>
    <row r="9" spans="1:4" ht="15" thickBot="1" x14ac:dyDescent="0.35">
      <c r="A9" s="64" t="s">
        <v>129</v>
      </c>
      <c r="B9" s="65">
        <v>18</v>
      </c>
      <c r="C9" s="65">
        <f>B9+(B9*0.05)</f>
        <v>18.899999999999999</v>
      </c>
      <c r="D9" s="77">
        <v>400</v>
      </c>
    </row>
    <row r="10" spans="1:4" x14ac:dyDescent="0.3">
      <c r="A10" s="165" t="s">
        <v>12</v>
      </c>
      <c r="B10" s="166"/>
      <c r="C10" s="166"/>
      <c r="D10" s="167"/>
    </row>
    <row r="11" spans="1:4" x14ac:dyDescent="0.3">
      <c r="A11" s="168" t="s">
        <v>13</v>
      </c>
      <c r="B11" s="163"/>
      <c r="C11" s="163"/>
      <c r="D11" s="169"/>
    </row>
    <row r="12" spans="1:4" x14ac:dyDescent="0.3">
      <c r="A12" s="6" t="s">
        <v>14</v>
      </c>
      <c r="B12" s="2">
        <v>113</v>
      </c>
      <c r="C12" s="2">
        <f>B12+(B12*0.1)</f>
        <v>124.3</v>
      </c>
      <c r="D12" s="78">
        <v>10</v>
      </c>
    </row>
    <row r="13" spans="1:4" x14ac:dyDescent="0.3">
      <c r="A13" s="6" t="s">
        <v>15</v>
      </c>
      <c r="B13" s="2">
        <v>128</v>
      </c>
      <c r="C13" s="2">
        <f t="shared" ref="C13:C15" si="0">B13+(B13*0.1)</f>
        <v>140.80000000000001</v>
      </c>
      <c r="D13" s="78">
        <v>10</v>
      </c>
    </row>
    <row r="14" spans="1:4" x14ac:dyDescent="0.3">
      <c r="A14" s="6" t="s">
        <v>16</v>
      </c>
      <c r="B14" s="2">
        <v>132</v>
      </c>
      <c r="C14" s="2">
        <f t="shared" si="0"/>
        <v>145.19999999999999</v>
      </c>
      <c r="D14" s="78">
        <v>10</v>
      </c>
    </row>
    <row r="15" spans="1:4" x14ac:dyDescent="0.3">
      <c r="A15" s="76" t="s">
        <v>17</v>
      </c>
      <c r="B15" s="19">
        <v>146</v>
      </c>
      <c r="C15" s="19">
        <f t="shared" si="0"/>
        <v>160.6</v>
      </c>
      <c r="D15" s="80">
        <v>10</v>
      </c>
    </row>
    <row r="16" spans="1:4" x14ac:dyDescent="0.3">
      <c r="A16" s="151" t="s">
        <v>159</v>
      </c>
      <c r="B16" s="151"/>
      <c r="C16" s="151"/>
      <c r="D16" s="151"/>
    </row>
    <row r="17" spans="1:4" x14ac:dyDescent="0.3">
      <c r="A17" s="2" t="s">
        <v>160</v>
      </c>
      <c r="B17" s="2">
        <v>1120</v>
      </c>
      <c r="C17" s="2">
        <f>B17+(B17*0.1)</f>
        <v>1232</v>
      </c>
      <c r="D17" s="4">
        <v>3</v>
      </c>
    </row>
    <row r="18" spans="1:4" x14ac:dyDescent="0.3">
      <c r="A18" s="151" t="s">
        <v>24</v>
      </c>
      <c r="B18" s="151"/>
      <c r="C18" s="151"/>
      <c r="D18" s="151"/>
    </row>
    <row r="19" spans="1:4" x14ac:dyDescent="0.3">
      <c r="A19" s="2" t="s">
        <v>371</v>
      </c>
      <c r="B19" s="2">
        <v>24</v>
      </c>
      <c r="C19" s="2">
        <f>B19+(B19*0.1)</f>
        <v>26.4</v>
      </c>
      <c r="D19" s="4">
        <v>25</v>
      </c>
    </row>
    <row r="20" spans="1:4" x14ac:dyDescent="0.3">
      <c r="A20" s="2" t="s">
        <v>372</v>
      </c>
      <c r="B20" s="2">
        <v>44</v>
      </c>
      <c r="C20" s="2">
        <f>B20+(B20*0.1)</f>
        <v>48.4</v>
      </c>
      <c r="D20" s="4">
        <v>25</v>
      </c>
    </row>
  </sheetData>
  <mergeCells count="8">
    <mergeCell ref="A18:D18"/>
    <mergeCell ref="A16:D16"/>
    <mergeCell ref="A2:D2"/>
    <mergeCell ref="A3:D3"/>
    <mergeCell ref="A5:D5"/>
    <mergeCell ref="A10:D10"/>
    <mergeCell ref="A11:D11"/>
    <mergeCell ref="A8:D8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D29A-4FC9-4EC1-885F-6D7D1E5C036D}">
  <sheetPr>
    <tabColor rgb="FF00B050"/>
  </sheetPr>
  <dimension ref="A1:D6"/>
  <sheetViews>
    <sheetView workbookViewId="0">
      <selection activeCell="E1" sqref="E1:E1048576"/>
    </sheetView>
  </sheetViews>
  <sheetFormatPr defaultRowHeight="14.4" x14ac:dyDescent="0.3"/>
  <cols>
    <col min="1" max="1" width="38.21875" customWidth="1"/>
    <col min="2" max="3" width="8.88671875" hidden="1" customWidth="1"/>
    <col min="4" max="4" width="8.88671875" style="11"/>
  </cols>
  <sheetData>
    <row r="1" spans="1:4" s="1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73" t="s">
        <v>4</v>
      </c>
      <c r="B2" s="173"/>
      <c r="C2" s="173"/>
      <c r="D2" s="173"/>
    </row>
    <row r="3" spans="1:4" x14ac:dyDescent="0.3">
      <c r="A3" s="2" t="s">
        <v>28</v>
      </c>
      <c r="B3" s="2">
        <v>154</v>
      </c>
      <c r="C3" s="2">
        <f>B3+(B3*0.05)</f>
        <v>161.69999999999999</v>
      </c>
      <c r="D3" s="1">
        <f>ROUNDUP((C3*100/75),0.5)</f>
        <v>216</v>
      </c>
    </row>
    <row r="4" spans="1:4" x14ac:dyDescent="0.3">
      <c r="A4" s="173" t="s">
        <v>29</v>
      </c>
      <c r="B4" s="173"/>
      <c r="C4" s="173"/>
      <c r="D4" s="173"/>
    </row>
    <row r="5" spans="1:4" x14ac:dyDescent="0.3">
      <c r="A5" s="2" t="s">
        <v>30</v>
      </c>
      <c r="B5" s="2">
        <v>219</v>
      </c>
      <c r="C5" s="2">
        <f>B5+(B5*0.05)</f>
        <v>229.95</v>
      </c>
      <c r="D5" s="1">
        <f>ROUNDUP((C5*100/75),0.5)</f>
        <v>307</v>
      </c>
    </row>
    <row r="6" spans="1:4" x14ac:dyDescent="0.3">
      <c r="A6" s="2" t="s">
        <v>31</v>
      </c>
      <c r="B6" s="2">
        <v>239</v>
      </c>
      <c r="C6" s="2">
        <f>B6+(B6*0.05)</f>
        <v>250.95</v>
      </c>
      <c r="D6" s="1">
        <f>ROUNDUP((C6*100/75),0.5)</f>
        <v>335</v>
      </c>
    </row>
  </sheetData>
  <mergeCells count="2">
    <mergeCell ref="A2:D2"/>
    <mergeCell ref="A4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DDF5-0B14-42A1-A5CE-1E03D0710A5E}">
  <sheetPr>
    <tabColor rgb="FF66FFFF"/>
  </sheetPr>
  <dimension ref="A1:C3"/>
  <sheetViews>
    <sheetView workbookViewId="0">
      <selection activeCell="D1" sqref="D1:E1048576"/>
    </sheetView>
  </sheetViews>
  <sheetFormatPr defaultRowHeight="14.4" x14ac:dyDescent="0.3"/>
  <cols>
    <col min="1" max="1" width="36.33203125" customWidth="1"/>
    <col min="2" max="3" width="8.88671875" style="3" hidden="1" customWidth="1"/>
  </cols>
  <sheetData>
    <row r="1" spans="1:3" x14ac:dyDescent="0.3">
      <c r="A1" s="9" t="s">
        <v>0</v>
      </c>
      <c r="B1" s="1" t="s">
        <v>1</v>
      </c>
      <c r="C1" s="1" t="s">
        <v>2</v>
      </c>
    </row>
    <row r="2" spans="1:3" x14ac:dyDescent="0.3">
      <c r="A2" s="174" t="s">
        <v>238</v>
      </c>
      <c r="B2" s="174"/>
      <c r="C2" s="174"/>
    </row>
    <row r="3" spans="1:3" x14ac:dyDescent="0.3">
      <c r="A3" s="2" t="s">
        <v>253</v>
      </c>
      <c r="B3" s="4">
        <v>265</v>
      </c>
      <c r="C3" s="4">
        <f>B3+(B3*0.1)</f>
        <v>291.5</v>
      </c>
    </row>
  </sheetData>
  <mergeCells count="1"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4CC0A-0429-46F4-8E06-513834E48B70}">
  <sheetPr>
    <tabColor rgb="FFFF0000"/>
  </sheetPr>
  <dimension ref="A1:C9"/>
  <sheetViews>
    <sheetView workbookViewId="0">
      <selection activeCell="D1" sqref="D1:D1048576"/>
    </sheetView>
  </sheetViews>
  <sheetFormatPr defaultRowHeight="14.4" x14ac:dyDescent="0.3"/>
  <cols>
    <col min="1" max="1" width="27.5546875" customWidth="1"/>
    <col min="2" max="3" width="8.88671875" hidden="1" customWidth="1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175" t="s">
        <v>228</v>
      </c>
      <c r="B2" s="175"/>
      <c r="C2" s="175"/>
    </row>
    <row r="3" spans="1:3" x14ac:dyDescent="0.3">
      <c r="A3" s="2" t="s">
        <v>345</v>
      </c>
      <c r="B3" s="132">
        <v>120</v>
      </c>
      <c r="C3" s="2">
        <f t="shared" ref="C3:C9" si="0">B3+(B3*0.1)</f>
        <v>132</v>
      </c>
    </row>
    <row r="4" spans="1:3" x14ac:dyDescent="0.3">
      <c r="A4" s="2" t="s">
        <v>307</v>
      </c>
      <c r="B4" s="2">
        <v>135</v>
      </c>
      <c r="C4" s="2">
        <f t="shared" si="0"/>
        <v>148.5</v>
      </c>
    </row>
    <row r="5" spans="1:3" x14ac:dyDescent="0.3">
      <c r="A5" s="2" t="s">
        <v>229</v>
      </c>
      <c r="B5" s="2">
        <v>200</v>
      </c>
      <c r="C5" s="2">
        <f t="shared" si="0"/>
        <v>220</v>
      </c>
    </row>
    <row r="6" spans="1:3" x14ac:dyDescent="0.3">
      <c r="A6" s="2" t="s">
        <v>344</v>
      </c>
      <c r="B6" s="2">
        <v>230</v>
      </c>
      <c r="C6" s="2">
        <f t="shared" si="0"/>
        <v>253</v>
      </c>
    </row>
    <row r="7" spans="1:3" x14ac:dyDescent="0.3">
      <c r="A7" s="2" t="s">
        <v>294</v>
      </c>
      <c r="B7" s="2">
        <v>290</v>
      </c>
      <c r="C7" s="2">
        <f t="shared" si="0"/>
        <v>319</v>
      </c>
    </row>
    <row r="8" spans="1:3" x14ac:dyDescent="0.3">
      <c r="A8" s="2" t="s">
        <v>293</v>
      </c>
      <c r="B8" s="2">
        <v>330</v>
      </c>
      <c r="C8" s="2">
        <f t="shared" si="0"/>
        <v>363</v>
      </c>
    </row>
    <row r="9" spans="1:3" x14ac:dyDescent="0.3">
      <c r="A9" s="2" t="s">
        <v>331</v>
      </c>
      <c r="B9" s="2">
        <v>520</v>
      </c>
      <c r="C9" s="2">
        <f t="shared" si="0"/>
        <v>572</v>
      </c>
    </row>
  </sheetData>
  <mergeCells count="1"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75D7-C45F-4AE0-A021-ADC93F62B40C}">
  <sheetPr>
    <tabColor theme="7" tint="0.59999389629810485"/>
  </sheetPr>
  <dimension ref="A1:F55"/>
  <sheetViews>
    <sheetView workbookViewId="0">
      <selection activeCell="E1" sqref="E1:E1048576"/>
    </sheetView>
  </sheetViews>
  <sheetFormatPr defaultColWidth="8.5546875" defaultRowHeight="14.4" x14ac:dyDescent="0.3"/>
  <cols>
    <col min="1" max="1" width="38.5546875" bestFit="1" customWidth="1"/>
    <col min="2" max="3" width="8.88671875" style="3" hidden="1" customWidth="1"/>
    <col min="4" max="4" width="6.33203125" style="3" customWidth="1"/>
  </cols>
  <sheetData>
    <row r="1" spans="1:5" ht="15" thickBot="1" x14ac:dyDescent="0.35">
      <c r="A1" s="121" t="s">
        <v>0</v>
      </c>
      <c r="B1" s="5" t="s">
        <v>1</v>
      </c>
      <c r="C1" s="5" t="s">
        <v>2</v>
      </c>
      <c r="D1" s="5" t="s">
        <v>255</v>
      </c>
    </row>
    <row r="2" spans="1:5" ht="15.6" thickTop="1" thickBot="1" x14ac:dyDescent="0.35">
      <c r="A2" s="176" t="s">
        <v>4</v>
      </c>
      <c r="B2" s="177"/>
      <c r="C2" s="177"/>
      <c r="D2" s="178"/>
      <c r="E2" s="20"/>
    </row>
    <row r="3" spans="1:5" ht="15" thickBot="1" x14ac:dyDescent="0.35">
      <c r="A3" s="185" t="s">
        <v>263</v>
      </c>
      <c r="B3" s="186"/>
      <c r="C3" s="186"/>
      <c r="D3" s="186"/>
    </row>
    <row r="4" spans="1:5" x14ac:dyDescent="0.3">
      <c r="A4" s="109" t="s">
        <v>334</v>
      </c>
      <c r="B4" s="10">
        <v>9.5</v>
      </c>
      <c r="C4" s="10">
        <f>B4+(B4*0.1)</f>
        <v>10.45</v>
      </c>
      <c r="D4" s="21"/>
    </row>
    <row r="5" spans="1:5" x14ac:dyDescent="0.3">
      <c r="A5" s="109" t="s">
        <v>335</v>
      </c>
      <c r="B5" s="10">
        <v>17</v>
      </c>
      <c r="C5" s="10">
        <f>B5+(B5*0.1)</f>
        <v>18.7</v>
      </c>
      <c r="D5" s="21"/>
    </row>
    <row r="6" spans="1:5" x14ac:dyDescent="0.3">
      <c r="A6" s="67" t="s">
        <v>49</v>
      </c>
      <c r="B6" s="1">
        <v>23</v>
      </c>
      <c r="C6" s="1">
        <f>B6+(B6*0.1)</f>
        <v>25.3</v>
      </c>
      <c r="D6" s="22"/>
      <c r="E6" s="20"/>
    </row>
    <row r="7" spans="1:5" ht="15" thickBot="1" x14ac:dyDescent="0.35">
      <c r="A7" s="56" t="s">
        <v>23</v>
      </c>
      <c r="B7" s="12">
        <v>132</v>
      </c>
      <c r="C7" s="12">
        <f>B7+(B7*0.1)</f>
        <v>145.19999999999999</v>
      </c>
      <c r="D7" s="23"/>
    </row>
    <row r="8" spans="1:5" ht="15" thickBot="1" x14ac:dyDescent="0.35">
      <c r="A8" s="179" t="s">
        <v>5</v>
      </c>
      <c r="B8" s="180"/>
      <c r="C8" s="180"/>
      <c r="D8" s="181"/>
      <c r="E8" s="20"/>
    </row>
    <row r="9" spans="1:5" x14ac:dyDescent="0.3">
      <c r="A9" s="24" t="s">
        <v>6</v>
      </c>
      <c r="B9" s="15">
        <v>9.5</v>
      </c>
      <c r="C9" s="15">
        <f>B9+(B9*0.1)</f>
        <v>10.45</v>
      </c>
      <c r="D9" s="110"/>
      <c r="E9" s="20"/>
    </row>
    <row r="10" spans="1:5" ht="15" thickBot="1" x14ac:dyDescent="0.35">
      <c r="A10" s="25" t="s">
        <v>49</v>
      </c>
      <c r="B10" s="4">
        <v>18</v>
      </c>
      <c r="C10" s="4">
        <f>B10+(B10*0.1)</f>
        <v>19.8</v>
      </c>
      <c r="D10" s="78"/>
      <c r="E10" s="20"/>
    </row>
    <row r="11" spans="1:5" ht="15" thickBot="1" x14ac:dyDescent="0.35">
      <c r="A11" s="185" t="s">
        <v>27</v>
      </c>
      <c r="B11" s="186"/>
      <c r="C11" s="186"/>
      <c r="D11" s="186"/>
    </row>
    <row r="12" spans="1:5" x14ac:dyDescent="0.3">
      <c r="A12" s="70" t="s">
        <v>158</v>
      </c>
      <c r="B12" s="10">
        <v>13.5</v>
      </c>
      <c r="C12" s="10">
        <f>B12+(B12*0.1)</f>
        <v>14.85</v>
      </c>
      <c r="D12" s="21"/>
    </row>
    <row r="13" spans="1:5" x14ac:dyDescent="0.3">
      <c r="A13" s="96" t="s">
        <v>45</v>
      </c>
      <c r="B13" s="100">
        <v>50</v>
      </c>
      <c r="C13" s="12">
        <f>B13+(B13*0.1)</f>
        <v>55</v>
      </c>
      <c r="D13" s="23"/>
    </row>
    <row r="14" spans="1:5" x14ac:dyDescent="0.3">
      <c r="A14" s="99" t="s">
        <v>46</v>
      </c>
      <c r="B14" s="101">
        <v>45</v>
      </c>
      <c r="C14" s="103">
        <f>B14+(B14*0.1)</f>
        <v>49.5</v>
      </c>
      <c r="D14" s="103"/>
      <c r="E14" s="20"/>
    </row>
    <row r="15" spans="1:5" ht="15" thickBot="1" x14ac:dyDescent="0.35">
      <c r="A15" s="98" t="s">
        <v>245</v>
      </c>
      <c r="B15" s="97">
        <v>142</v>
      </c>
      <c r="C15" s="102">
        <f>B15+(B15*0.1)</f>
        <v>156.19999999999999</v>
      </c>
      <c r="D15" s="97"/>
      <c r="E15" s="20"/>
    </row>
    <row r="16" spans="1:5" ht="15.6" thickTop="1" thickBot="1" x14ac:dyDescent="0.35">
      <c r="A16" s="194" t="s">
        <v>251</v>
      </c>
      <c r="B16" s="195"/>
      <c r="C16" s="195"/>
      <c r="D16" s="196"/>
      <c r="E16" s="20"/>
    </row>
    <row r="17" spans="1:6" ht="15" thickBot="1" x14ac:dyDescent="0.35">
      <c r="A17" s="107" t="s">
        <v>252</v>
      </c>
      <c r="B17" s="108">
        <v>105</v>
      </c>
      <c r="C17" s="108">
        <f>B17+(B17*0.1)</f>
        <v>115.5</v>
      </c>
      <c r="D17" s="114"/>
      <c r="E17" s="20"/>
    </row>
    <row r="18" spans="1:6" ht="15.6" thickTop="1" thickBot="1" x14ac:dyDescent="0.35">
      <c r="A18" s="187" t="s">
        <v>24</v>
      </c>
      <c r="B18" s="188"/>
      <c r="C18" s="188"/>
      <c r="D18" s="188"/>
      <c r="E18" s="20"/>
    </row>
    <row r="19" spans="1:6" ht="15.6" thickTop="1" thickBot="1" x14ac:dyDescent="0.35">
      <c r="A19" s="190" t="s">
        <v>22</v>
      </c>
      <c r="B19" s="191"/>
      <c r="C19" s="191"/>
      <c r="D19" s="191"/>
      <c r="E19" s="20"/>
    </row>
    <row r="20" spans="1:6" ht="15" thickBot="1" x14ac:dyDescent="0.35">
      <c r="A20" s="71" t="s">
        <v>50</v>
      </c>
      <c r="B20" s="72">
        <v>24.5</v>
      </c>
      <c r="C20" s="72">
        <f>B20+(B20*0.1)</f>
        <v>26.95</v>
      </c>
      <c r="D20" s="115"/>
      <c r="E20" s="20"/>
    </row>
    <row r="21" spans="1:6" ht="15" thickBot="1" x14ac:dyDescent="0.35">
      <c r="A21" s="185" t="s">
        <v>5</v>
      </c>
      <c r="B21" s="186"/>
      <c r="C21" s="186"/>
      <c r="D21" s="186"/>
      <c r="E21" s="20"/>
    </row>
    <row r="22" spans="1:6" ht="15" thickBot="1" x14ac:dyDescent="0.35">
      <c r="A22" s="27" t="s">
        <v>25</v>
      </c>
      <c r="B22" s="16">
        <v>20</v>
      </c>
      <c r="C22" s="16">
        <f>B22+(B22*0.1)</f>
        <v>22</v>
      </c>
      <c r="D22" s="116"/>
      <c r="E22" s="20"/>
    </row>
    <row r="23" spans="1:6" ht="15" thickBot="1" x14ac:dyDescent="0.35">
      <c r="A23" s="185" t="s">
        <v>27</v>
      </c>
      <c r="B23" s="189"/>
      <c r="C23" s="186"/>
      <c r="D23" s="186"/>
      <c r="E23" s="20"/>
    </row>
    <row r="24" spans="1:6" x14ac:dyDescent="0.3">
      <c r="A24" s="73" t="s">
        <v>25</v>
      </c>
      <c r="B24" s="69">
        <v>27.5</v>
      </c>
      <c r="C24" s="69">
        <f>B24+(B24*0.1)</f>
        <v>30.25</v>
      </c>
      <c r="D24" s="117"/>
      <c r="E24" s="20"/>
    </row>
    <row r="25" spans="1:6" x14ac:dyDescent="0.3">
      <c r="A25" s="74" t="s">
        <v>26</v>
      </c>
      <c r="B25" s="4">
        <v>40</v>
      </c>
      <c r="C25" s="26">
        <f>B25+(B25*0.1)</f>
        <v>44</v>
      </c>
      <c r="D25" s="118"/>
      <c r="E25" s="20"/>
    </row>
    <row r="26" spans="1:6" ht="15" thickBot="1" x14ac:dyDescent="0.35">
      <c r="A26" s="75" t="s">
        <v>33</v>
      </c>
      <c r="B26" s="26">
        <v>85</v>
      </c>
      <c r="C26" s="49">
        <f>B26+(B26*0.1)</f>
        <v>93.5</v>
      </c>
      <c r="D26" s="115"/>
      <c r="E26" s="20"/>
    </row>
    <row r="27" spans="1:6" ht="15.6" thickTop="1" thickBot="1" x14ac:dyDescent="0.35">
      <c r="A27" s="187" t="s">
        <v>191</v>
      </c>
      <c r="B27" s="188"/>
      <c r="C27" s="188"/>
      <c r="D27" s="188"/>
    </row>
    <row r="28" spans="1:6" ht="15.6" thickTop="1" thickBot="1" x14ac:dyDescent="0.35">
      <c r="A28" s="119" t="s">
        <v>192</v>
      </c>
      <c r="B28" s="82">
        <v>21</v>
      </c>
      <c r="C28" s="83">
        <f>B28+(B28*0.1)</f>
        <v>23.1</v>
      </c>
      <c r="D28" s="120"/>
      <c r="E28" s="20"/>
    </row>
    <row r="29" spans="1:6" ht="15" thickTop="1" x14ac:dyDescent="0.3">
      <c r="A29" s="192" t="s">
        <v>136</v>
      </c>
      <c r="B29" s="193"/>
      <c r="C29" s="193"/>
      <c r="D29" s="193"/>
      <c r="F29">
        <v>98</v>
      </c>
    </row>
    <row r="30" spans="1:6" x14ac:dyDescent="0.3">
      <c r="A30" s="70" t="s">
        <v>368</v>
      </c>
      <c r="B30" s="10">
        <v>98</v>
      </c>
      <c r="C30" s="26">
        <f t="shared" ref="C30:C31" si="0">B30+(B30*0.1)</f>
        <v>107.8</v>
      </c>
      <c r="D30" s="10"/>
    </row>
    <row r="31" spans="1:6" x14ac:dyDescent="0.3">
      <c r="A31" s="57" t="s">
        <v>369</v>
      </c>
      <c r="B31" s="1">
        <v>120</v>
      </c>
      <c r="C31" s="26">
        <f t="shared" si="0"/>
        <v>132</v>
      </c>
      <c r="D31" s="1"/>
    </row>
    <row r="32" spans="1:6" ht="15" thickBot="1" x14ac:dyDescent="0.35">
      <c r="A32" s="20" t="s">
        <v>137</v>
      </c>
      <c r="B32" s="139">
        <v>119.6</v>
      </c>
      <c r="C32" s="26">
        <f>B32+(B32*0.1)</f>
        <v>131.56</v>
      </c>
      <c r="D32" s="111"/>
      <c r="F32">
        <v>120</v>
      </c>
    </row>
    <row r="33" spans="1:5" ht="15" thickTop="1" x14ac:dyDescent="0.3">
      <c r="A33" s="182" t="s">
        <v>7</v>
      </c>
      <c r="B33" s="183"/>
      <c r="C33" s="183"/>
      <c r="D33" s="184"/>
    </row>
    <row r="34" spans="1:5" ht="15" thickBot="1" x14ac:dyDescent="0.35">
      <c r="A34" s="25" t="s">
        <v>20</v>
      </c>
      <c r="B34" s="18">
        <v>23</v>
      </c>
      <c r="C34" s="18">
        <f>B34+(B34*0.1)</f>
        <v>25.3</v>
      </c>
      <c r="D34" s="79"/>
    </row>
    <row r="35" spans="1:5" ht="15" thickBot="1" x14ac:dyDescent="0.35">
      <c r="A35" s="66" t="s">
        <v>21</v>
      </c>
      <c r="B35" s="26">
        <v>40</v>
      </c>
      <c r="C35" s="17">
        <f>B35+(B35*0.1)</f>
        <v>44</v>
      </c>
      <c r="D35" s="80"/>
      <c r="E35" s="20"/>
    </row>
    <row r="36" spans="1:5" ht="15.6" thickTop="1" thickBot="1" x14ac:dyDescent="0.35">
      <c r="A36" s="201" t="s">
        <v>58</v>
      </c>
      <c r="B36" s="202"/>
      <c r="C36" s="202"/>
      <c r="D36" s="203"/>
      <c r="E36" s="20"/>
    </row>
    <row r="37" spans="1:5" ht="15" thickTop="1" x14ac:dyDescent="0.3">
      <c r="A37" s="28" t="s">
        <v>51</v>
      </c>
      <c r="B37" s="15">
        <v>56</v>
      </c>
      <c r="C37" s="15">
        <f>B37+(B37*0.1)</f>
        <v>61.6</v>
      </c>
      <c r="D37" s="110"/>
      <c r="E37" s="20"/>
    </row>
    <row r="38" spans="1:5" x14ac:dyDescent="0.3">
      <c r="A38" s="29" t="s">
        <v>52</v>
      </c>
      <c r="B38" s="4">
        <v>56</v>
      </c>
      <c r="C38" s="4">
        <f t="shared" ref="C38:C46" si="1">B38+(B38*0.1)</f>
        <v>61.6</v>
      </c>
      <c r="D38" s="78"/>
      <c r="E38" s="20"/>
    </row>
    <row r="39" spans="1:5" x14ac:dyDescent="0.3">
      <c r="A39" s="30" t="s">
        <v>53</v>
      </c>
      <c r="B39" s="4">
        <v>56</v>
      </c>
      <c r="C39" s="4">
        <f t="shared" si="1"/>
        <v>61.6</v>
      </c>
      <c r="D39" s="78"/>
      <c r="E39" s="20"/>
    </row>
    <row r="40" spans="1:5" ht="15" thickBot="1" x14ac:dyDescent="0.35">
      <c r="A40" s="31" t="s">
        <v>54</v>
      </c>
      <c r="B40" s="4">
        <v>56</v>
      </c>
      <c r="C40" s="4">
        <f t="shared" si="1"/>
        <v>61.6</v>
      </c>
      <c r="D40" s="78"/>
      <c r="E40" s="20"/>
    </row>
    <row r="41" spans="1:5" ht="15" thickTop="1" x14ac:dyDescent="0.3">
      <c r="A41" s="32" t="s">
        <v>55</v>
      </c>
      <c r="B41" s="4">
        <v>56</v>
      </c>
      <c r="C41" s="4">
        <f t="shared" si="1"/>
        <v>61.6</v>
      </c>
      <c r="D41" s="78"/>
    </row>
    <row r="42" spans="1:5" x14ac:dyDescent="0.3">
      <c r="A42" s="33" t="s">
        <v>56</v>
      </c>
      <c r="B42" s="4">
        <v>56</v>
      </c>
      <c r="C42" s="4">
        <f t="shared" si="1"/>
        <v>61.6</v>
      </c>
      <c r="D42" s="78"/>
    </row>
    <row r="43" spans="1:5" ht="15" thickBot="1" x14ac:dyDescent="0.35">
      <c r="A43" s="47" t="s">
        <v>57</v>
      </c>
      <c r="B43" s="17">
        <v>56</v>
      </c>
      <c r="C43" s="17">
        <f t="shared" si="1"/>
        <v>61.6</v>
      </c>
      <c r="D43" s="80"/>
    </row>
    <row r="44" spans="1:5" ht="15.6" thickTop="1" thickBot="1" x14ac:dyDescent="0.35">
      <c r="A44" s="199" t="s">
        <v>81</v>
      </c>
      <c r="B44" s="200"/>
      <c r="C44" s="200"/>
      <c r="D44" s="200"/>
      <c r="E44" s="20"/>
    </row>
    <row r="45" spans="1:5" ht="15" thickTop="1" x14ac:dyDescent="0.3">
      <c r="A45" s="55" t="s">
        <v>79</v>
      </c>
      <c r="B45" s="54">
        <v>12</v>
      </c>
      <c r="C45" s="50">
        <f t="shared" si="1"/>
        <v>13.2</v>
      </c>
      <c r="D45" s="112"/>
      <c r="E45" s="20"/>
    </row>
    <row r="46" spans="1:5" ht="15" thickBot="1" x14ac:dyDescent="0.35">
      <c r="A46" s="48" t="s">
        <v>80</v>
      </c>
      <c r="B46" s="49">
        <v>50</v>
      </c>
      <c r="C46" s="49">
        <f t="shared" si="1"/>
        <v>55</v>
      </c>
      <c r="D46" s="113"/>
      <c r="E46" s="20"/>
    </row>
    <row r="47" spans="1:5" ht="15.6" thickTop="1" thickBot="1" x14ac:dyDescent="0.35">
      <c r="A47" s="198" t="s">
        <v>85</v>
      </c>
      <c r="B47" s="198"/>
      <c r="C47" s="198"/>
      <c r="D47" s="198"/>
    </row>
    <row r="48" spans="1:5" ht="15.6" thickTop="1" thickBot="1" x14ac:dyDescent="0.35">
      <c r="A48" s="52" t="s">
        <v>86</v>
      </c>
      <c r="B48" s="53">
        <v>170</v>
      </c>
      <c r="C48" s="53">
        <f>B48+(B48*0.1)</f>
        <v>187</v>
      </c>
      <c r="D48" s="53"/>
    </row>
    <row r="49" spans="1:4" ht="15.6" thickTop="1" thickBot="1" x14ac:dyDescent="0.35">
      <c r="A49" s="198" t="s">
        <v>193</v>
      </c>
      <c r="B49" s="198"/>
      <c r="C49" s="198"/>
      <c r="D49" s="198"/>
    </row>
    <row r="50" spans="1:4" ht="15.6" thickTop="1" thickBot="1" x14ac:dyDescent="0.35">
      <c r="A50" s="125" t="s">
        <v>194</v>
      </c>
      <c r="B50" s="53">
        <v>17</v>
      </c>
      <c r="C50" s="53">
        <f>B50+(B50*0.1)</f>
        <v>18.7</v>
      </c>
      <c r="D50" s="53"/>
    </row>
    <row r="51" spans="1:4" ht="15.6" thickTop="1" thickBot="1" x14ac:dyDescent="0.35">
      <c r="A51" s="127" t="s">
        <v>305</v>
      </c>
      <c r="B51" s="95">
        <v>23.65</v>
      </c>
      <c r="C51" s="126">
        <f>B51+(B51*0.1)</f>
        <v>26.014999999999997</v>
      </c>
      <c r="D51" s="128"/>
    </row>
    <row r="52" spans="1:4" ht="15.6" thickTop="1" thickBot="1" x14ac:dyDescent="0.35">
      <c r="A52" s="197" t="s">
        <v>239</v>
      </c>
      <c r="B52" s="197"/>
      <c r="C52" s="197"/>
      <c r="D52" s="197"/>
    </row>
    <row r="53" spans="1:4" ht="15" thickTop="1" x14ac:dyDescent="0.3">
      <c r="A53" s="131" t="s">
        <v>319</v>
      </c>
      <c r="B53" s="50">
        <v>78</v>
      </c>
      <c r="C53" s="50">
        <f>B53+(B53*0.1)</f>
        <v>85.8</v>
      </c>
      <c r="D53" s="50"/>
    </row>
    <row r="54" spans="1:4" ht="15" thickBot="1" x14ac:dyDescent="0.35">
      <c r="A54" s="75" t="s">
        <v>320</v>
      </c>
      <c r="B54" s="49">
        <v>122</v>
      </c>
      <c r="C54" s="49">
        <f>B54+(B54*0.1)</f>
        <v>134.19999999999999</v>
      </c>
      <c r="D54" s="49"/>
    </row>
    <row r="55" spans="1:4" ht="15" thickTop="1" x14ac:dyDescent="0.3"/>
  </sheetData>
  <mergeCells count="17">
    <mergeCell ref="A52:D52"/>
    <mergeCell ref="A49:D49"/>
    <mergeCell ref="A47:D47"/>
    <mergeCell ref="A44:D44"/>
    <mergeCell ref="A36:D36"/>
    <mergeCell ref="A2:D2"/>
    <mergeCell ref="A8:D8"/>
    <mergeCell ref="A33:D33"/>
    <mergeCell ref="A3:D3"/>
    <mergeCell ref="A18:D18"/>
    <mergeCell ref="A21:D21"/>
    <mergeCell ref="A23:D23"/>
    <mergeCell ref="A11:D11"/>
    <mergeCell ref="A19:D19"/>
    <mergeCell ref="A29:D29"/>
    <mergeCell ref="A27:D27"/>
    <mergeCell ref="A16:D16"/>
  </mergeCells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5CFF-68D3-4E71-8B50-6AFE1352A354}">
  <sheetPr>
    <tabColor rgb="FFFFFF00"/>
  </sheetPr>
  <dimension ref="A1:C3"/>
  <sheetViews>
    <sheetView workbookViewId="0">
      <selection activeCell="D1" sqref="D1:E1048576"/>
    </sheetView>
  </sheetViews>
  <sheetFormatPr defaultRowHeight="14.4" x14ac:dyDescent="0.3"/>
  <cols>
    <col min="1" max="1" width="26" customWidth="1"/>
    <col min="2" max="3" width="0" style="3" hidden="1" customWidth="1"/>
  </cols>
  <sheetData>
    <row r="1" spans="1:3" x14ac:dyDescent="0.3">
      <c r="A1" s="9" t="s">
        <v>0</v>
      </c>
      <c r="B1" s="1" t="s">
        <v>1</v>
      </c>
      <c r="C1" s="1" t="s">
        <v>2</v>
      </c>
    </row>
    <row r="2" spans="1:3" x14ac:dyDescent="0.3">
      <c r="A2" s="162" t="s">
        <v>303</v>
      </c>
      <c r="B2" s="162"/>
      <c r="C2" s="162"/>
    </row>
    <row r="3" spans="1:3" x14ac:dyDescent="0.3">
      <c r="A3" s="2" t="s">
        <v>304</v>
      </c>
      <c r="B3" s="4">
        <v>350</v>
      </c>
      <c r="C3" s="4">
        <f>B3+(B3*0.1)</f>
        <v>385</v>
      </c>
    </row>
  </sheetData>
  <mergeCells count="1"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4A54-6A21-4DFD-A93D-87B6C042452B}">
  <sheetPr>
    <tabColor rgb="FF92D050"/>
  </sheetPr>
  <dimension ref="A1:F9"/>
  <sheetViews>
    <sheetView workbookViewId="0">
      <selection activeCell="G1" sqref="G1:H1048576"/>
    </sheetView>
  </sheetViews>
  <sheetFormatPr defaultRowHeight="14.4" x14ac:dyDescent="0.3"/>
  <cols>
    <col min="1" max="1" width="43.88671875" customWidth="1"/>
    <col min="2" max="2" width="15.77734375" style="122" bestFit="1" customWidth="1"/>
    <col min="3" max="6" width="8.88671875" hidden="1" customWidth="1"/>
  </cols>
  <sheetData>
    <row r="1" spans="1:6" x14ac:dyDescent="0.3">
      <c r="A1" s="2" t="s">
        <v>0</v>
      </c>
      <c r="B1" s="9" t="s">
        <v>273</v>
      </c>
      <c r="C1" s="2" t="s">
        <v>1</v>
      </c>
      <c r="D1" s="2" t="s">
        <v>272</v>
      </c>
      <c r="E1" s="2" t="s">
        <v>62</v>
      </c>
      <c r="F1" s="2" t="s">
        <v>2</v>
      </c>
    </row>
    <row r="2" spans="1:6" x14ac:dyDescent="0.3">
      <c r="A2" s="204" t="s">
        <v>275</v>
      </c>
      <c r="B2" s="204"/>
      <c r="C2" s="204"/>
      <c r="D2" s="204"/>
      <c r="E2" s="204"/>
      <c r="F2" s="204"/>
    </row>
    <row r="3" spans="1:6" x14ac:dyDescent="0.3">
      <c r="A3" s="2" t="s">
        <v>276</v>
      </c>
      <c r="B3" s="9" t="s">
        <v>274</v>
      </c>
      <c r="C3" s="2">
        <v>109</v>
      </c>
      <c r="D3" s="2">
        <f>C3-(C3*0.3)</f>
        <v>76.300000000000011</v>
      </c>
      <c r="E3" s="2">
        <f>D3+(D3*0.18)</f>
        <v>90.03400000000002</v>
      </c>
      <c r="F3" s="2">
        <f>E3+(E3*0.05)</f>
        <v>94.53570000000002</v>
      </c>
    </row>
    <row r="4" spans="1:6" x14ac:dyDescent="0.3">
      <c r="A4" s="204" t="s">
        <v>310</v>
      </c>
      <c r="B4" s="204"/>
      <c r="C4" s="204"/>
      <c r="D4" s="204"/>
      <c r="E4" s="204"/>
      <c r="F4" s="204"/>
    </row>
    <row r="5" spans="1:6" x14ac:dyDescent="0.3">
      <c r="A5" s="2" t="s">
        <v>311</v>
      </c>
      <c r="B5" s="9" t="s">
        <v>309</v>
      </c>
      <c r="C5" s="2"/>
      <c r="D5" s="2"/>
      <c r="E5" s="2">
        <v>3200</v>
      </c>
      <c r="F5" s="2">
        <f>E5+(E5*0.05)</f>
        <v>3360</v>
      </c>
    </row>
    <row r="6" spans="1:6" x14ac:dyDescent="0.3">
      <c r="A6" s="204" t="s">
        <v>338</v>
      </c>
      <c r="B6" s="204"/>
      <c r="C6" s="204"/>
      <c r="D6" s="204"/>
      <c r="E6" s="204"/>
      <c r="F6" s="204"/>
    </row>
    <row r="7" spans="1:6" x14ac:dyDescent="0.3">
      <c r="A7" s="2" t="s">
        <v>336</v>
      </c>
      <c r="B7" s="9" t="s">
        <v>339</v>
      </c>
      <c r="C7" s="2"/>
      <c r="D7" s="2"/>
      <c r="E7" s="2">
        <v>350</v>
      </c>
      <c r="F7" s="2">
        <f t="shared" ref="F7:F9" si="0">E7+(E7*0.05)</f>
        <v>367.5</v>
      </c>
    </row>
    <row r="8" spans="1:6" x14ac:dyDescent="0.3">
      <c r="A8" s="2" t="s">
        <v>342</v>
      </c>
      <c r="B8" s="9"/>
      <c r="C8" s="2"/>
      <c r="D8" s="2"/>
      <c r="E8" s="2">
        <v>520.5</v>
      </c>
      <c r="F8" s="2">
        <f t="shared" si="0"/>
        <v>546.52499999999998</v>
      </c>
    </row>
    <row r="9" spans="1:6" x14ac:dyDescent="0.3">
      <c r="A9" s="2" t="s">
        <v>337</v>
      </c>
      <c r="B9" s="9" t="s">
        <v>340</v>
      </c>
      <c r="C9" s="2"/>
      <c r="D9" s="2"/>
      <c r="E9" s="2">
        <v>470</v>
      </c>
      <c r="F9" s="2">
        <f t="shared" si="0"/>
        <v>493.5</v>
      </c>
    </row>
  </sheetData>
  <mergeCells count="3">
    <mergeCell ref="A2:F2"/>
    <mergeCell ref="A4:F4"/>
    <mergeCell ref="A6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F03D-F87A-4FC6-B580-89136F3D59E2}">
  <sheetPr>
    <tabColor rgb="FFFF0000"/>
  </sheetPr>
  <dimension ref="A1:C3"/>
  <sheetViews>
    <sheetView workbookViewId="0">
      <selection activeCell="D1" sqref="D1:D1048576"/>
    </sheetView>
  </sheetViews>
  <sheetFormatPr defaultRowHeight="14.4" x14ac:dyDescent="0.3"/>
  <cols>
    <col min="1" max="1" width="30.88671875" customWidth="1"/>
    <col min="2" max="3" width="0" hidden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75" t="s">
        <v>260</v>
      </c>
      <c r="B2" s="175"/>
      <c r="C2" s="175"/>
    </row>
    <row r="3" spans="1:3" x14ac:dyDescent="0.3">
      <c r="A3" s="2" t="s">
        <v>261</v>
      </c>
      <c r="B3" s="2">
        <v>472</v>
      </c>
      <c r="C3" s="2">
        <f>B3+(B3*0.1)</f>
        <v>519.20000000000005</v>
      </c>
    </row>
  </sheetData>
  <mergeCells count="1">
    <mergeCell ref="A2:C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64D8-2CE5-49AE-85DF-3394FD167316}">
  <sheetPr>
    <tabColor theme="5" tint="0.39997558519241921"/>
  </sheetPr>
  <dimension ref="A1:F44"/>
  <sheetViews>
    <sheetView zoomScale="70" zoomScaleNormal="70" workbookViewId="0">
      <selection activeCell="G1" sqref="G1:G1048576"/>
    </sheetView>
  </sheetViews>
  <sheetFormatPr defaultRowHeight="14.4" x14ac:dyDescent="0.3"/>
  <cols>
    <col min="1" max="1" width="39.77734375" customWidth="1"/>
    <col min="2" max="2" width="12.33203125" style="11" customWidth="1"/>
    <col min="3" max="6" width="8.88671875" hidden="1" customWidth="1"/>
  </cols>
  <sheetData>
    <row r="1" spans="1:6" ht="18.600000000000001" thickBot="1" x14ac:dyDescent="0.4">
      <c r="A1" s="41" t="s">
        <v>0</v>
      </c>
      <c r="B1" s="42" t="s">
        <v>61</v>
      </c>
      <c r="C1" s="42" t="s">
        <v>1</v>
      </c>
      <c r="D1" s="42" t="s">
        <v>68</v>
      </c>
      <c r="E1" s="42" t="s">
        <v>62</v>
      </c>
      <c r="F1" s="42" t="s">
        <v>2</v>
      </c>
    </row>
    <row r="2" spans="1:6" ht="18.600000000000001" thickBot="1" x14ac:dyDescent="0.4">
      <c r="A2" s="210" t="s">
        <v>63</v>
      </c>
      <c r="B2" s="211"/>
      <c r="C2" s="211"/>
      <c r="D2" s="211"/>
      <c r="E2" s="211"/>
      <c r="F2" s="211"/>
    </row>
    <row r="3" spans="1:6" ht="24" customHeight="1" thickBot="1" x14ac:dyDescent="0.35">
      <c r="A3" s="214" t="s">
        <v>71</v>
      </c>
      <c r="B3" s="215"/>
      <c r="C3" s="215"/>
      <c r="D3" s="215"/>
      <c r="E3" s="215"/>
      <c r="F3" s="215"/>
    </row>
    <row r="4" spans="1:6" ht="18.600000000000001" thickBot="1" x14ac:dyDescent="0.4">
      <c r="A4" s="216" t="s">
        <v>72</v>
      </c>
      <c r="B4" s="43">
        <v>36</v>
      </c>
      <c r="C4" s="44">
        <v>36.380000000000003</v>
      </c>
      <c r="D4" s="44"/>
      <c r="E4" s="44">
        <f>C4+(C4*0.18)</f>
        <v>42.928400000000003</v>
      </c>
      <c r="F4" s="44">
        <f>E4+(E4*0.05)</f>
        <v>45.074820000000003</v>
      </c>
    </row>
    <row r="5" spans="1:6" ht="18.600000000000001" thickBot="1" x14ac:dyDescent="0.4">
      <c r="A5" s="217"/>
      <c r="B5" s="45">
        <v>60</v>
      </c>
      <c r="C5" s="46">
        <v>36.380000000000003</v>
      </c>
      <c r="D5" s="46"/>
      <c r="E5" s="46">
        <f>C5+(C5*0.18)</f>
        <v>42.928400000000003</v>
      </c>
      <c r="F5" s="44">
        <f>E5+(E5*0.05)</f>
        <v>45.074820000000003</v>
      </c>
    </row>
    <row r="6" spans="1:6" ht="24" customHeight="1" thickBot="1" x14ac:dyDescent="0.5">
      <c r="A6" s="212" t="s">
        <v>67</v>
      </c>
      <c r="B6" s="213"/>
      <c r="C6" s="213"/>
      <c r="D6" s="213"/>
      <c r="E6" s="213"/>
      <c r="F6" s="213"/>
    </row>
    <row r="7" spans="1:6" ht="18" x14ac:dyDescent="0.35">
      <c r="A7" s="206" t="s">
        <v>64</v>
      </c>
      <c r="B7" s="39">
        <v>24</v>
      </c>
      <c r="C7" s="40">
        <v>35.18</v>
      </c>
      <c r="D7" s="40">
        <f>C7-(C7*0.025)</f>
        <v>34.3005</v>
      </c>
      <c r="E7" s="40">
        <f>D7+(D7*0.18)</f>
        <v>40.474589999999999</v>
      </c>
      <c r="F7" s="40">
        <f>E7+(E7*0.05)</f>
        <v>42.498319500000001</v>
      </c>
    </row>
    <row r="8" spans="1:6" ht="18" x14ac:dyDescent="0.35">
      <c r="A8" s="206"/>
      <c r="B8" s="36">
        <v>36</v>
      </c>
      <c r="C8" s="2">
        <v>34.549999999999997</v>
      </c>
      <c r="D8" s="2">
        <f t="shared" ref="D8:D43" si="0">C8-(C8*0.025)</f>
        <v>33.686249999999994</v>
      </c>
      <c r="E8" s="2">
        <f t="shared" ref="E8:E43" si="1">D8+(D8*0.18)</f>
        <v>39.749774999999993</v>
      </c>
      <c r="F8" s="40">
        <f>E8+(E8*0.05)</f>
        <v>41.73726374999999</v>
      </c>
    </row>
    <row r="9" spans="1:6" ht="18" x14ac:dyDescent="0.35">
      <c r="A9" s="206"/>
      <c r="B9" s="36">
        <v>50</v>
      </c>
      <c r="C9" s="2" t="s">
        <v>69</v>
      </c>
      <c r="D9" s="2" t="s">
        <v>69</v>
      </c>
      <c r="E9" s="2" t="s">
        <v>69</v>
      </c>
      <c r="F9" s="2" t="s">
        <v>69</v>
      </c>
    </row>
    <row r="10" spans="1:6" ht="18" x14ac:dyDescent="0.35">
      <c r="A10" s="206"/>
      <c r="B10" s="36">
        <v>60</v>
      </c>
      <c r="C10" s="2">
        <v>30.86</v>
      </c>
      <c r="D10" s="2">
        <f t="shared" si="0"/>
        <v>30.0885</v>
      </c>
      <c r="E10" s="2">
        <f t="shared" si="1"/>
        <v>35.504429999999999</v>
      </c>
      <c r="F10" s="2">
        <f>E10+(E10*0.05)</f>
        <v>37.2796515</v>
      </c>
    </row>
    <row r="11" spans="1:6" ht="18" x14ac:dyDescent="0.35">
      <c r="A11" s="206"/>
      <c r="B11" s="36">
        <v>80</v>
      </c>
      <c r="C11" s="2">
        <v>28.03</v>
      </c>
      <c r="D11" s="2">
        <f t="shared" si="0"/>
        <v>27.329250000000002</v>
      </c>
      <c r="E11" s="2">
        <f t="shared" si="1"/>
        <v>32.248515000000005</v>
      </c>
      <c r="F11" s="2">
        <f>E11+(E11*0.05)</f>
        <v>33.860940750000005</v>
      </c>
    </row>
    <row r="12" spans="1:6" ht="18" x14ac:dyDescent="0.35">
      <c r="A12" s="206"/>
      <c r="B12" s="36">
        <v>100</v>
      </c>
      <c r="C12" s="2" t="s">
        <v>69</v>
      </c>
      <c r="D12" s="2" t="s">
        <v>69</v>
      </c>
      <c r="E12" s="2" t="s">
        <v>69</v>
      </c>
      <c r="F12" s="2" t="s">
        <v>69</v>
      </c>
    </row>
    <row r="13" spans="1:6" ht="18.600000000000001" thickBot="1" x14ac:dyDescent="0.4">
      <c r="A13" s="207"/>
      <c r="B13" s="37">
        <v>120</v>
      </c>
      <c r="C13" s="19">
        <v>28.03</v>
      </c>
      <c r="D13" s="19">
        <f t="shared" si="0"/>
        <v>27.329250000000002</v>
      </c>
      <c r="E13" s="19">
        <f t="shared" si="1"/>
        <v>32.248515000000005</v>
      </c>
      <c r="F13" s="19">
        <f>E13+(E13*0.05)</f>
        <v>33.860940750000005</v>
      </c>
    </row>
    <row r="14" spans="1:6" ht="18.600000000000001" thickBot="1" x14ac:dyDescent="0.4">
      <c r="A14" s="205" t="s">
        <v>65</v>
      </c>
      <c r="B14" s="35">
        <v>24</v>
      </c>
      <c r="C14" s="34">
        <v>45.15</v>
      </c>
      <c r="D14" s="34">
        <f t="shared" si="0"/>
        <v>44.021250000000002</v>
      </c>
      <c r="E14" s="34">
        <f t="shared" si="1"/>
        <v>51.945075000000003</v>
      </c>
      <c r="F14" s="34">
        <f>E14+(E14*0.05)</f>
        <v>54.542328750000003</v>
      </c>
    </row>
    <row r="15" spans="1:6" ht="18.600000000000001" thickBot="1" x14ac:dyDescent="0.4">
      <c r="A15" s="206"/>
      <c r="B15" s="36">
        <v>36</v>
      </c>
      <c r="C15" s="2">
        <v>41.97</v>
      </c>
      <c r="D15" s="2">
        <f t="shared" si="0"/>
        <v>40.920749999999998</v>
      </c>
      <c r="E15" s="2">
        <f t="shared" si="1"/>
        <v>48.286484999999999</v>
      </c>
      <c r="F15" s="34">
        <f t="shared" ref="F15:F20" si="2">E15+(E15*0.05)</f>
        <v>50.700809249999999</v>
      </c>
    </row>
    <row r="16" spans="1:6" ht="18.600000000000001" thickBot="1" x14ac:dyDescent="0.4">
      <c r="A16" s="206"/>
      <c r="B16" s="36">
        <v>50</v>
      </c>
      <c r="C16" s="2">
        <v>37.520000000000003</v>
      </c>
      <c r="D16" s="2">
        <f t="shared" si="0"/>
        <v>36.582000000000001</v>
      </c>
      <c r="E16" s="2">
        <f t="shared" si="1"/>
        <v>43.166760000000004</v>
      </c>
      <c r="F16" s="34">
        <f t="shared" si="2"/>
        <v>45.325098000000004</v>
      </c>
    </row>
    <row r="17" spans="1:6" ht="18.600000000000001" thickBot="1" x14ac:dyDescent="0.4">
      <c r="A17" s="206"/>
      <c r="B17" s="36">
        <v>60</v>
      </c>
      <c r="C17" s="2">
        <v>38.22</v>
      </c>
      <c r="D17" s="2">
        <f t="shared" si="0"/>
        <v>37.264499999999998</v>
      </c>
      <c r="E17" s="2">
        <f t="shared" si="1"/>
        <v>43.972110000000001</v>
      </c>
      <c r="F17" s="34">
        <f t="shared" si="2"/>
        <v>46.1707155</v>
      </c>
    </row>
    <row r="18" spans="1:6" ht="18.600000000000001" thickBot="1" x14ac:dyDescent="0.4">
      <c r="A18" s="206"/>
      <c r="B18" s="36">
        <v>80</v>
      </c>
      <c r="C18" s="2">
        <v>34.69</v>
      </c>
      <c r="D18" s="2">
        <f t="shared" si="0"/>
        <v>33.822749999999999</v>
      </c>
      <c r="E18" s="2">
        <f t="shared" si="1"/>
        <v>39.910845000000002</v>
      </c>
      <c r="F18" s="34">
        <f t="shared" si="2"/>
        <v>41.906387250000002</v>
      </c>
    </row>
    <row r="19" spans="1:6" ht="18.600000000000001" thickBot="1" x14ac:dyDescent="0.4">
      <c r="A19" s="206"/>
      <c r="B19" s="36">
        <v>100</v>
      </c>
      <c r="C19" s="2">
        <v>34.75</v>
      </c>
      <c r="D19" s="2">
        <f t="shared" si="0"/>
        <v>33.881250000000001</v>
      </c>
      <c r="E19" s="2">
        <f t="shared" si="1"/>
        <v>39.979875</v>
      </c>
      <c r="F19" s="34">
        <f t="shared" si="2"/>
        <v>41.978868749999997</v>
      </c>
    </row>
    <row r="20" spans="1:6" ht="18.600000000000001" thickBot="1" x14ac:dyDescent="0.4">
      <c r="A20" s="207"/>
      <c r="B20" s="37">
        <v>120</v>
      </c>
      <c r="C20" s="19">
        <v>34.75</v>
      </c>
      <c r="D20" s="19">
        <f t="shared" si="0"/>
        <v>33.881250000000001</v>
      </c>
      <c r="E20" s="19">
        <f t="shared" si="1"/>
        <v>39.979875</v>
      </c>
      <c r="F20" s="34">
        <f t="shared" si="2"/>
        <v>41.978868749999997</v>
      </c>
    </row>
    <row r="21" spans="1:6" ht="18.600000000000001" thickBot="1" x14ac:dyDescent="0.4">
      <c r="A21" s="205" t="s">
        <v>66</v>
      </c>
      <c r="B21" s="35">
        <v>24</v>
      </c>
      <c r="C21" s="34">
        <v>89.92</v>
      </c>
      <c r="D21" s="34">
        <f t="shared" si="0"/>
        <v>87.671999999999997</v>
      </c>
      <c r="E21" s="34">
        <f t="shared" si="1"/>
        <v>103.45295999999999</v>
      </c>
      <c r="F21" s="34">
        <f>E21+(E21*0.05)</f>
        <v>108.62560799999999</v>
      </c>
    </row>
    <row r="22" spans="1:6" ht="18" x14ac:dyDescent="0.35">
      <c r="A22" s="206"/>
      <c r="B22" s="36">
        <v>36</v>
      </c>
      <c r="C22" s="2">
        <v>79.03</v>
      </c>
      <c r="D22" s="2">
        <f t="shared" si="0"/>
        <v>77.054249999999996</v>
      </c>
      <c r="E22" s="2">
        <f t="shared" si="1"/>
        <v>90.924014999999997</v>
      </c>
      <c r="F22" s="34">
        <f>E22+(E22*0.05)</f>
        <v>95.470215749999994</v>
      </c>
    </row>
    <row r="23" spans="1:6" ht="18" x14ac:dyDescent="0.35">
      <c r="A23" s="206"/>
      <c r="B23" s="36">
        <v>50</v>
      </c>
      <c r="C23" s="2" t="s">
        <v>69</v>
      </c>
      <c r="D23" s="2" t="s">
        <v>69</v>
      </c>
      <c r="E23" s="2" t="s">
        <v>69</v>
      </c>
      <c r="F23" s="2" t="s">
        <v>69</v>
      </c>
    </row>
    <row r="24" spans="1:6" ht="18" x14ac:dyDescent="0.35">
      <c r="A24" s="206"/>
      <c r="B24" s="36">
        <v>60</v>
      </c>
      <c r="C24" s="2">
        <v>76.959999999999994</v>
      </c>
      <c r="D24" s="2">
        <f t="shared" si="0"/>
        <v>75.035999999999987</v>
      </c>
      <c r="E24" s="2">
        <f t="shared" si="1"/>
        <v>88.542479999999983</v>
      </c>
      <c r="F24" s="2">
        <f>E24+(E24*0.05)</f>
        <v>92.969603999999975</v>
      </c>
    </row>
    <row r="25" spans="1:6" ht="18" x14ac:dyDescent="0.35">
      <c r="A25" s="206"/>
      <c r="B25" s="36">
        <v>80</v>
      </c>
      <c r="C25" s="2">
        <v>69.88</v>
      </c>
      <c r="D25" s="2">
        <f t="shared" si="0"/>
        <v>68.132999999999996</v>
      </c>
      <c r="E25" s="2">
        <f t="shared" si="1"/>
        <v>80.396940000000001</v>
      </c>
      <c r="F25" s="2">
        <f>E25+(E25*0.05)</f>
        <v>84.416786999999999</v>
      </c>
    </row>
    <row r="26" spans="1:6" ht="18" x14ac:dyDescent="0.35">
      <c r="A26" s="206"/>
      <c r="B26" s="36">
        <v>100</v>
      </c>
      <c r="C26" s="2" t="s">
        <v>69</v>
      </c>
      <c r="D26" s="2" t="s">
        <v>69</v>
      </c>
      <c r="E26" s="2" t="s">
        <v>69</v>
      </c>
      <c r="F26" s="2" t="s">
        <v>69</v>
      </c>
    </row>
    <row r="27" spans="1:6" ht="18.600000000000001" thickBot="1" x14ac:dyDescent="0.4">
      <c r="A27" s="207"/>
      <c r="B27" s="38">
        <v>120</v>
      </c>
      <c r="C27" s="8">
        <v>69.88</v>
      </c>
      <c r="D27" s="8">
        <f t="shared" si="0"/>
        <v>68.132999999999996</v>
      </c>
      <c r="E27" s="8">
        <f t="shared" si="1"/>
        <v>80.396940000000001</v>
      </c>
      <c r="F27" s="8">
        <f>E27+(E27*0.05)</f>
        <v>84.416786999999999</v>
      </c>
    </row>
    <row r="28" spans="1:6" ht="21.6" thickBot="1" x14ac:dyDescent="0.35">
      <c r="A28" s="208" t="s">
        <v>70</v>
      </c>
      <c r="B28" s="209"/>
      <c r="C28" s="209"/>
      <c r="D28" s="209"/>
      <c r="E28" s="209"/>
      <c r="F28" s="209"/>
    </row>
    <row r="29" spans="1:6" ht="18.600000000000001" customHeight="1" thickBot="1" x14ac:dyDescent="0.4">
      <c r="A29" s="205" t="s">
        <v>64</v>
      </c>
      <c r="B29" s="35">
        <v>24</v>
      </c>
      <c r="C29" s="34">
        <v>51.45</v>
      </c>
      <c r="D29" s="34">
        <f t="shared" si="0"/>
        <v>50.16375</v>
      </c>
      <c r="E29" s="34">
        <f t="shared" si="1"/>
        <v>59.193224999999998</v>
      </c>
      <c r="F29" s="34">
        <f>E29+(E29*0.05)</f>
        <v>62.152886249999995</v>
      </c>
    </row>
    <row r="30" spans="1:6" ht="18.600000000000001" customHeight="1" thickBot="1" x14ac:dyDescent="0.4">
      <c r="A30" s="206"/>
      <c r="B30" s="36">
        <v>36</v>
      </c>
      <c r="C30" s="2">
        <v>49.61</v>
      </c>
      <c r="D30" s="2">
        <f t="shared" si="0"/>
        <v>48.369749999999996</v>
      </c>
      <c r="E30" s="2">
        <f t="shared" si="1"/>
        <v>57.076304999999998</v>
      </c>
      <c r="F30" s="34">
        <f t="shared" ref="F30:F31" si="3">E30+(E30*0.05)</f>
        <v>59.930120250000002</v>
      </c>
    </row>
    <row r="31" spans="1:6" ht="18.600000000000001" customHeight="1" x14ac:dyDescent="0.35">
      <c r="A31" s="206"/>
      <c r="B31" s="36">
        <v>60</v>
      </c>
      <c r="C31" s="2">
        <v>40.76</v>
      </c>
      <c r="D31" s="2">
        <f t="shared" si="0"/>
        <v>39.741</v>
      </c>
      <c r="E31" s="2">
        <f t="shared" si="1"/>
        <v>46.894379999999998</v>
      </c>
      <c r="F31" s="34">
        <f t="shared" si="3"/>
        <v>49.239098999999996</v>
      </c>
    </row>
    <row r="32" spans="1:6" ht="18.600000000000001" customHeight="1" x14ac:dyDescent="0.35">
      <c r="A32" s="206"/>
      <c r="B32" s="36">
        <v>80</v>
      </c>
      <c r="C32" s="2" t="s">
        <v>69</v>
      </c>
      <c r="D32" s="2" t="s">
        <v>69</v>
      </c>
      <c r="E32" s="2" t="s">
        <v>69</v>
      </c>
      <c r="F32" s="2" t="s">
        <v>69</v>
      </c>
    </row>
    <row r="33" spans="1:6" ht="18.600000000000001" customHeight="1" thickBot="1" x14ac:dyDescent="0.4">
      <c r="A33" s="207"/>
      <c r="B33" s="37">
        <v>120</v>
      </c>
      <c r="C33" s="19" t="s">
        <v>69</v>
      </c>
      <c r="D33" s="19" t="s">
        <v>69</v>
      </c>
      <c r="E33" s="19" t="s">
        <v>69</v>
      </c>
      <c r="F33" s="19" t="s">
        <v>69</v>
      </c>
    </row>
    <row r="34" spans="1:6" ht="18.600000000000001" customHeight="1" thickBot="1" x14ac:dyDescent="0.4">
      <c r="A34" s="205" t="s">
        <v>65</v>
      </c>
      <c r="B34" s="35">
        <v>24</v>
      </c>
      <c r="C34" s="34">
        <v>59.17</v>
      </c>
      <c r="D34" s="34">
        <f t="shared" si="0"/>
        <v>57.690750000000001</v>
      </c>
      <c r="E34" s="34">
        <f t="shared" si="1"/>
        <v>68.075085000000001</v>
      </c>
      <c r="F34" s="34">
        <f>E34+(E34*0.05)</f>
        <v>71.478839250000007</v>
      </c>
    </row>
    <row r="35" spans="1:6" ht="18.600000000000001" customHeight="1" thickBot="1" x14ac:dyDescent="0.4">
      <c r="A35" s="206"/>
      <c r="B35" s="36">
        <v>36</v>
      </c>
      <c r="C35" s="2">
        <v>55.21</v>
      </c>
      <c r="D35" s="2">
        <f t="shared" si="0"/>
        <v>53.829750000000004</v>
      </c>
      <c r="E35" s="2">
        <f t="shared" si="1"/>
        <v>63.519105000000003</v>
      </c>
      <c r="F35" s="34">
        <f t="shared" ref="F35:F36" si="4">E35+(E35*0.05)</f>
        <v>66.695060249999997</v>
      </c>
    </row>
    <row r="36" spans="1:6" ht="18.600000000000001" customHeight="1" x14ac:dyDescent="0.35">
      <c r="A36" s="206"/>
      <c r="B36" s="36">
        <v>60</v>
      </c>
      <c r="C36" s="2">
        <v>50.08</v>
      </c>
      <c r="D36" s="2">
        <f t="shared" si="0"/>
        <v>48.827999999999996</v>
      </c>
      <c r="E36" s="2">
        <f t="shared" si="1"/>
        <v>57.617039999999996</v>
      </c>
      <c r="F36" s="34">
        <f t="shared" si="4"/>
        <v>60.497891999999993</v>
      </c>
    </row>
    <row r="37" spans="1:6" ht="18.600000000000001" customHeight="1" x14ac:dyDescent="0.35">
      <c r="A37" s="206"/>
      <c r="B37" s="36">
        <v>80</v>
      </c>
      <c r="C37" s="2" t="s">
        <v>69</v>
      </c>
      <c r="D37" s="2" t="s">
        <v>69</v>
      </c>
      <c r="E37" s="2" t="s">
        <v>69</v>
      </c>
      <c r="F37" s="2" t="s">
        <v>69</v>
      </c>
    </row>
    <row r="38" spans="1:6" ht="18.600000000000001" customHeight="1" thickBot="1" x14ac:dyDescent="0.4">
      <c r="A38" s="207"/>
      <c r="B38" s="37">
        <v>120</v>
      </c>
      <c r="C38" s="2" t="s">
        <v>69</v>
      </c>
      <c r="D38" s="2" t="s">
        <v>69</v>
      </c>
      <c r="E38" s="2" t="s">
        <v>69</v>
      </c>
      <c r="F38" s="2" t="s">
        <v>69</v>
      </c>
    </row>
    <row r="39" spans="1:6" ht="18.600000000000001" customHeight="1" thickBot="1" x14ac:dyDescent="0.4">
      <c r="A39" s="205" t="s">
        <v>66</v>
      </c>
      <c r="B39" s="35">
        <v>24</v>
      </c>
      <c r="C39" s="34">
        <v>118.81</v>
      </c>
      <c r="D39" s="34">
        <f t="shared" si="0"/>
        <v>115.83975000000001</v>
      </c>
      <c r="E39" s="34">
        <f t="shared" si="1"/>
        <v>136.69090500000001</v>
      </c>
      <c r="F39" s="34">
        <f>E39+(E39*0.05)</f>
        <v>143.52545025000001</v>
      </c>
    </row>
    <row r="40" spans="1:6" ht="18.600000000000001" customHeight="1" thickBot="1" x14ac:dyDescent="0.4">
      <c r="A40" s="206"/>
      <c r="B40" s="36">
        <v>36</v>
      </c>
      <c r="C40" s="2">
        <v>104.21</v>
      </c>
      <c r="D40" s="2">
        <f t="shared" si="0"/>
        <v>101.60475</v>
      </c>
      <c r="E40" s="2">
        <f t="shared" si="1"/>
        <v>119.89360499999999</v>
      </c>
      <c r="F40" s="34">
        <f t="shared" ref="F40:F42" si="5">E40+(E40*0.05)</f>
        <v>125.88828525</v>
      </c>
    </row>
    <row r="41" spans="1:6" ht="18.600000000000001" customHeight="1" thickBot="1" x14ac:dyDescent="0.4">
      <c r="A41" s="206"/>
      <c r="B41" s="36">
        <v>60</v>
      </c>
      <c r="C41" s="2">
        <v>99.4</v>
      </c>
      <c r="D41" s="2">
        <f t="shared" si="0"/>
        <v>96.915000000000006</v>
      </c>
      <c r="E41" s="2">
        <f t="shared" si="1"/>
        <v>114.3597</v>
      </c>
      <c r="F41" s="34">
        <f t="shared" si="5"/>
        <v>120.077685</v>
      </c>
    </row>
    <row r="42" spans="1:6" ht="18.600000000000001" customHeight="1" thickBot="1" x14ac:dyDescent="0.4">
      <c r="A42" s="206"/>
      <c r="B42" s="36">
        <v>80</v>
      </c>
      <c r="C42" s="2">
        <v>91.49</v>
      </c>
      <c r="D42" s="2">
        <f t="shared" si="0"/>
        <v>89.202749999999995</v>
      </c>
      <c r="E42" s="2">
        <f t="shared" si="1"/>
        <v>105.25924499999999</v>
      </c>
      <c r="F42" s="34">
        <f t="shared" si="5"/>
        <v>110.52220724999999</v>
      </c>
    </row>
    <row r="43" spans="1:6" ht="18.600000000000001" customHeight="1" thickBot="1" x14ac:dyDescent="0.4">
      <c r="A43" s="207"/>
      <c r="B43" s="38">
        <v>120</v>
      </c>
      <c r="C43" s="8">
        <v>91.49</v>
      </c>
      <c r="D43" s="8">
        <f t="shared" si="0"/>
        <v>89.202749999999995</v>
      </c>
      <c r="E43" s="8">
        <f t="shared" si="1"/>
        <v>105.25924499999999</v>
      </c>
      <c r="F43" s="34">
        <f>E43+(E43*0.05)</f>
        <v>110.52220724999999</v>
      </c>
    </row>
    <row r="44" spans="1:6" ht="18" customHeight="1" x14ac:dyDescent="0.3"/>
  </sheetData>
  <mergeCells count="11">
    <mergeCell ref="A29:A33"/>
    <mergeCell ref="A34:A38"/>
    <mergeCell ref="A39:A43"/>
    <mergeCell ref="A28:F28"/>
    <mergeCell ref="A2:F2"/>
    <mergeCell ref="A6:F6"/>
    <mergeCell ref="A7:A13"/>
    <mergeCell ref="A14:A20"/>
    <mergeCell ref="A21:A27"/>
    <mergeCell ref="A3:F3"/>
    <mergeCell ref="A4:A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313E-C486-4973-86F6-92ABA0F413CA}">
  <sheetPr>
    <tabColor rgb="FFFFFF00"/>
  </sheetPr>
  <dimension ref="A1:E5"/>
  <sheetViews>
    <sheetView workbookViewId="0">
      <selection activeCell="F1" sqref="F1:F1048576"/>
    </sheetView>
  </sheetViews>
  <sheetFormatPr defaultRowHeight="14.4" x14ac:dyDescent="0.3"/>
  <cols>
    <col min="1" max="1" width="30.88671875" customWidth="1"/>
    <col min="2" max="2" width="10.44140625" style="3" customWidth="1"/>
    <col min="3" max="5" width="0" hidden="1" customWidth="1"/>
  </cols>
  <sheetData>
    <row r="1" spans="1:5" x14ac:dyDescent="0.3">
      <c r="A1" s="9" t="s">
        <v>0</v>
      </c>
      <c r="B1" s="1" t="s">
        <v>178</v>
      </c>
      <c r="C1" s="9" t="s">
        <v>1</v>
      </c>
      <c r="D1" s="9" t="s">
        <v>62</v>
      </c>
      <c r="E1" s="9" t="s">
        <v>2</v>
      </c>
    </row>
    <row r="2" spans="1:5" x14ac:dyDescent="0.3">
      <c r="A2" s="162" t="s">
        <v>7</v>
      </c>
      <c r="B2" s="162"/>
      <c r="C2" s="162"/>
      <c r="D2" s="162"/>
      <c r="E2" s="162"/>
    </row>
    <row r="3" spans="1:5" x14ac:dyDescent="0.3">
      <c r="A3" s="2" t="s">
        <v>179</v>
      </c>
      <c r="B3" s="4">
        <v>10</v>
      </c>
      <c r="C3" s="2">
        <v>21</v>
      </c>
      <c r="D3" s="2">
        <f>C3+(C3*0.18)</f>
        <v>24.78</v>
      </c>
      <c r="E3" s="2">
        <f>D3+(D3*0.05)</f>
        <v>26.019000000000002</v>
      </c>
    </row>
    <row r="4" spans="1:5" x14ac:dyDescent="0.3">
      <c r="A4" s="162" t="s">
        <v>180</v>
      </c>
      <c r="B4" s="162"/>
      <c r="C4" s="162"/>
      <c r="D4" s="162"/>
      <c r="E4" s="162"/>
    </row>
    <row r="5" spans="1:5" x14ac:dyDescent="0.3">
      <c r="A5" s="2" t="s">
        <v>181</v>
      </c>
      <c r="B5" s="4">
        <v>20</v>
      </c>
      <c r="C5" s="2">
        <v>30</v>
      </c>
      <c r="D5" s="2">
        <f>C5+(C5*0.18)</f>
        <v>35.4</v>
      </c>
      <c r="E5" s="2">
        <f>D5+(D5*0.05)</f>
        <v>37.17</v>
      </c>
    </row>
  </sheetData>
  <mergeCells count="2">
    <mergeCell ref="A2:E2"/>
    <mergeCell ref="A4:E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1D4C-A4A4-4C8D-B517-CE2CB47A8051}">
  <sheetPr>
    <tabColor rgb="FF00B050"/>
  </sheetPr>
  <dimension ref="A1:C3"/>
  <sheetViews>
    <sheetView workbookViewId="0">
      <selection activeCell="D1" sqref="D1:E1048576"/>
    </sheetView>
  </sheetViews>
  <sheetFormatPr defaultRowHeight="14.4" x14ac:dyDescent="0.3"/>
  <cols>
    <col min="1" max="1" width="33.77734375" customWidth="1"/>
    <col min="2" max="3" width="0" hidden="1" customWidth="1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218" t="s">
        <v>253</v>
      </c>
      <c r="B2" s="218"/>
      <c r="C2" s="218"/>
    </row>
    <row r="3" spans="1:3" x14ac:dyDescent="0.3">
      <c r="A3" s="2" t="s">
        <v>254</v>
      </c>
      <c r="B3" s="2">
        <v>350</v>
      </c>
      <c r="C3" s="2">
        <f>B3+(B3*0.1)</f>
        <v>385</v>
      </c>
    </row>
  </sheetData>
  <mergeCells count="1">
    <mergeCell ref="A2:C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F044-A6D3-421F-BBFC-1A72CE49C5C2}">
  <sheetPr>
    <tabColor rgb="FFFF0000"/>
  </sheetPr>
  <dimension ref="A1:C8"/>
  <sheetViews>
    <sheetView workbookViewId="0">
      <selection activeCell="D1" sqref="D1:D1048576"/>
    </sheetView>
  </sheetViews>
  <sheetFormatPr defaultRowHeight="14.4" x14ac:dyDescent="0.3"/>
  <cols>
    <col min="1" max="1" width="34.88671875" customWidth="1"/>
    <col min="2" max="3" width="8.88671875" hidden="1" customWidth="1"/>
  </cols>
  <sheetData>
    <row r="1" spans="1:3" x14ac:dyDescent="0.3">
      <c r="A1" s="59" t="s">
        <v>0</v>
      </c>
      <c r="B1" s="1" t="s">
        <v>1</v>
      </c>
      <c r="C1" s="1" t="s">
        <v>2</v>
      </c>
    </row>
    <row r="2" spans="1:3" x14ac:dyDescent="0.3">
      <c r="A2" s="219" t="s">
        <v>212</v>
      </c>
      <c r="B2" s="220"/>
      <c r="C2" s="220"/>
    </row>
    <row r="3" spans="1:3" x14ac:dyDescent="0.3">
      <c r="A3" s="2" t="s">
        <v>211</v>
      </c>
      <c r="B3" s="4">
        <v>1100</v>
      </c>
      <c r="C3" s="4">
        <f>B3+(B3*0.1)</f>
        <v>1210</v>
      </c>
    </row>
    <row r="4" spans="1:3" x14ac:dyDescent="0.3">
      <c r="A4" s="175" t="s">
        <v>238</v>
      </c>
      <c r="B4" s="175"/>
      <c r="C4" s="175"/>
    </row>
    <row r="5" spans="1:3" x14ac:dyDescent="0.3">
      <c r="A5" s="19" t="s">
        <v>237</v>
      </c>
      <c r="B5" s="17">
        <v>250</v>
      </c>
      <c r="C5" s="17">
        <f>B5+(B5*0.1)</f>
        <v>275</v>
      </c>
    </row>
    <row r="6" spans="1:3" x14ac:dyDescent="0.3">
      <c r="A6" s="221" t="s">
        <v>247</v>
      </c>
      <c r="B6" s="221"/>
      <c r="C6" s="221"/>
    </row>
    <row r="7" spans="1:3" x14ac:dyDescent="0.3">
      <c r="A7" s="104" t="s">
        <v>262</v>
      </c>
      <c r="B7" s="124">
        <v>200</v>
      </c>
      <c r="C7" s="105">
        <f>B7+(B7*0.1)</f>
        <v>220</v>
      </c>
    </row>
    <row r="8" spans="1:3" x14ac:dyDescent="0.3">
      <c r="A8" s="104" t="s">
        <v>246</v>
      </c>
      <c r="B8" s="104">
        <v>225</v>
      </c>
      <c r="C8" s="105">
        <f>B8+(B8*0.1)</f>
        <v>247.5</v>
      </c>
    </row>
  </sheetData>
  <mergeCells count="3">
    <mergeCell ref="A2:C2"/>
    <mergeCell ref="A4:C4"/>
    <mergeCell ref="A6:C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CF71-E48B-4E99-88BA-C4F69B8046BC}">
  <sheetPr>
    <tabColor theme="4" tint="-0.499984740745262"/>
  </sheetPr>
  <dimension ref="A1:E5"/>
  <sheetViews>
    <sheetView zoomScale="95" zoomScaleNormal="95" workbookViewId="0">
      <selection activeCell="F1" sqref="F1:G1048576"/>
    </sheetView>
  </sheetViews>
  <sheetFormatPr defaultRowHeight="14.4" x14ac:dyDescent="0.3"/>
  <cols>
    <col min="1" max="1" width="35.21875" customWidth="1"/>
    <col min="2" max="2" width="8.88671875" hidden="1" customWidth="1"/>
    <col min="3" max="3" width="9" style="3" customWidth="1"/>
    <col min="4" max="4" width="8.88671875" hidden="1" customWidth="1"/>
    <col min="5" max="5" width="8.88671875" style="133" customWidth="1"/>
  </cols>
  <sheetData>
    <row r="1" spans="1:5" x14ac:dyDescent="0.3">
      <c r="A1" s="9" t="s">
        <v>0</v>
      </c>
      <c r="B1" s="9" t="s">
        <v>1</v>
      </c>
      <c r="C1" s="1" t="s">
        <v>73</v>
      </c>
      <c r="D1" s="9" t="s">
        <v>2</v>
      </c>
      <c r="E1" s="134" t="s">
        <v>348</v>
      </c>
    </row>
    <row r="2" spans="1:5" x14ac:dyDescent="0.3">
      <c r="A2" s="222" t="s">
        <v>74</v>
      </c>
      <c r="B2" s="222"/>
      <c r="C2" s="222"/>
      <c r="D2" s="222"/>
      <c r="E2" s="222"/>
    </row>
    <row r="3" spans="1:5" s="137" customFormat="1" ht="30" customHeight="1" x14ac:dyDescent="0.3">
      <c r="A3" s="136" t="s">
        <v>75</v>
      </c>
      <c r="B3" s="136">
        <v>126</v>
      </c>
      <c r="C3" s="135">
        <v>10</v>
      </c>
      <c r="D3" s="136">
        <f>B3+(B3*0.05)</f>
        <v>132.30000000000001</v>
      </c>
      <c r="E3" s="135"/>
    </row>
    <row r="4" spans="1:5" x14ac:dyDescent="0.3">
      <c r="A4" s="222" t="s">
        <v>242</v>
      </c>
      <c r="B4" s="222"/>
      <c r="C4" s="222"/>
      <c r="D4" s="222"/>
      <c r="E4" s="222"/>
    </row>
    <row r="5" spans="1:5" s="137" customFormat="1" ht="30" customHeight="1" x14ac:dyDescent="0.3">
      <c r="A5" s="136" t="s">
        <v>243</v>
      </c>
      <c r="B5" s="136">
        <v>126</v>
      </c>
      <c r="C5" s="135">
        <v>10</v>
      </c>
      <c r="D5" s="136">
        <f>B5+(B5*0.05)</f>
        <v>132.30000000000001</v>
      </c>
      <c r="E5" s="135"/>
    </row>
  </sheetData>
  <mergeCells count="2">
    <mergeCell ref="A2:E2"/>
    <mergeCell ref="A4:E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AC15-AFAF-40F1-B94B-EC4A36FEE846}">
  <sheetPr>
    <tabColor rgb="FF00B0F0"/>
  </sheetPr>
  <dimension ref="A1:D9"/>
  <sheetViews>
    <sheetView workbookViewId="0">
      <selection activeCell="E1" sqref="E1:E1048576"/>
    </sheetView>
  </sheetViews>
  <sheetFormatPr defaultRowHeight="14.4" x14ac:dyDescent="0.3"/>
  <cols>
    <col min="1" max="1" width="34.21875" customWidth="1"/>
    <col min="2" max="2" width="7" hidden="1" customWidth="1"/>
    <col min="3" max="3" width="9" hidden="1" customWidth="1"/>
    <col min="4" max="4" width="10" hidden="1" customWidth="1"/>
  </cols>
  <sheetData>
    <row r="1" spans="1:4" x14ac:dyDescent="0.3">
      <c r="A1" s="2" t="s">
        <v>0</v>
      </c>
      <c r="B1" s="2" t="s">
        <v>1</v>
      </c>
      <c r="C1" s="2" t="s">
        <v>62</v>
      </c>
      <c r="D1" s="2" t="s">
        <v>2</v>
      </c>
    </row>
    <row r="2" spans="1:4" x14ac:dyDescent="0.3">
      <c r="A2" s="174" t="s">
        <v>288</v>
      </c>
      <c r="B2" s="174"/>
      <c r="C2" s="174"/>
      <c r="D2" s="174"/>
    </row>
    <row r="3" spans="1:4" x14ac:dyDescent="0.3">
      <c r="A3" s="2" t="s">
        <v>283</v>
      </c>
      <c r="B3" s="2">
        <v>25.5</v>
      </c>
      <c r="C3" s="2">
        <f>B3+(B3*0.18)</f>
        <v>30.09</v>
      </c>
      <c r="D3" s="2">
        <f>C3+(C3*0.05)</f>
        <v>31.5945</v>
      </c>
    </row>
    <row r="4" spans="1:4" x14ac:dyDescent="0.3">
      <c r="A4" s="174" t="s">
        <v>287</v>
      </c>
      <c r="B4" s="174"/>
      <c r="C4" s="174"/>
      <c r="D4" s="174"/>
    </row>
    <row r="5" spans="1:4" x14ac:dyDescent="0.3">
      <c r="A5" s="2" t="s">
        <v>284</v>
      </c>
      <c r="B5" s="2">
        <v>44.63</v>
      </c>
      <c r="C5" s="2">
        <f t="shared" ref="C5:C9" si="0">B5+(B5*0.18)</f>
        <v>52.663400000000003</v>
      </c>
      <c r="D5" s="2">
        <f t="shared" ref="D5:D9" si="1">C5+(C5*0.05)</f>
        <v>55.296570000000003</v>
      </c>
    </row>
    <row r="6" spans="1:4" x14ac:dyDescent="0.3">
      <c r="A6" s="174" t="s">
        <v>97</v>
      </c>
      <c r="B6" s="174"/>
      <c r="C6" s="174"/>
      <c r="D6" s="174"/>
    </row>
    <row r="7" spans="1:4" x14ac:dyDescent="0.3">
      <c r="A7" s="2" t="s">
        <v>289</v>
      </c>
      <c r="B7" s="2">
        <v>12.75</v>
      </c>
      <c r="C7" s="2">
        <f t="shared" si="0"/>
        <v>15.045</v>
      </c>
      <c r="D7" s="2">
        <f t="shared" si="1"/>
        <v>15.79725</v>
      </c>
    </row>
    <row r="8" spans="1:4" x14ac:dyDescent="0.3">
      <c r="A8" s="2" t="s">
        <v>285</v>
      </c>
      <c r="B8" s="2">
        <v>28.05</v>
      </c>
      <c r="C8" s="2">
        <f t="shared" si="0"/>
        <v>33.099000000000004</v>
      </c>
      <c r="D8" s="2">
        <f t="shared" si="1"/>
        <v>34.753950000000003</v>
      </c>
    </row>
    <row r="9" spans="1:4" x14ac:dyDescent="0.3">
      <c r="A9" s="2" t="s">
        <v>286</v>
      </c>
      <c r="B9" s="2">
        <v>36.979999999999997</v>
      </c>
      <c r="C9" s="2">
        <f t="shared" si="0"/>
        <v>43.636399999999995</v>
      </c>
      <c r="D9" s="2">
        <f t="shared" si="1"/>
        <v>45.818219999999997</v>
      </c>
    </row>
  </sheetData>
  <mergeCells count="3">
    <mergeCell ref="A2:D2"/>
    <mergeCell ref="A4:D4"/>
    <mergeCell ref="A6:D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66BDB-1D5D-4BC1-A677-059012CACDAB}">
  <sheetPr>
    <tabColor theme="5" tint="-0.249977111117893"/>
  </sheetPr>
  <dimension ref="A1:C6"/>
  <sheetViews>
    <sheetView workbookViewId="0">
      <selection activeCell="D1" sqref="D1:D1048576"/>
    </sheetView>
  </sheetViews>
  <sheetFormatPr defaultRowHeight="14.4" x14ac:dyDescent="0.3"/>
  <cols>
    <col min="1" max="1" width="34.88671875" customWidth="1"/>
    <col min="2" max="3" width="0" hidden="1" customWidth="1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223" t="s">
        <v>92</v>
      </c>
      <c r="B2" s="223"/>
      <c r="C2" s="223"/>
    </row>
    <row r="3" spans="1:3" x14ac:dyDescent="0.3">
      <c r="A3" s="2" t="s">
        <v>93</v>
      </c>
      <c r="B3" s="2"/>
      <c r="C3" s="2"/>
    </row>
    <row r="4" spans="1:3" x14ac:dyDescent="0.3">
      <c r="A4" s="2" t="s">
        <v>94</v>
      </c>
      <c r="B4" s="2"/>
      <c r="C4" s="2"/>
    </row>
    <row r="5" spans="1:3" x14ac:dyDescent="0.3">
      <c r="A5" s="2" t="s">
        <v>95</v>
      </c>
      <c r="B5" s="2">
        <v>980</v>
      </c>
      <c r="C5" s="2">
        <f>B5+(B5*0.1)</f>
        <v>1078</v>
      </c>
    </row>
    <row r="6" spans="1:3" x14ac:dyDescent="0.3">
      <c r="A6" s="2" t="s">
        <v>96</v>
      </c>
      <c r="B6" s="2"/>
      <c r="C6" s="2"/>
    </row>
  </sheetData>
  <mergeCells count="1">
    <mergeCell ref="A2:C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5F01-96C4-450E-838F-B8C9937FD79D}">
  <sheetPr>
    <tabColor rgb="FFFFC000"/>
  </sheetPr>
  <dimension ref="A1:G19"/>
  <sheetViews>
    <sheetView workbookViewId="0">
      <selection activeCell="E1" sqref="E1:H1048576"/>
    </sheetView>
  </sheetViews>
  <sheetFormatPr defaultRowHeight="14.4" x14ac:dyDescent="0.3"/>
  <cols>
    <col min="1" max="1" width="36.6640625" customWidth="1"/>
    <col min="2" max="2" width="9.44140625" style="3" customWidth="1"/>
    <col min="3" max="4" width="8.88671875" hidden="1" customWidth="1"/>
    <col min="5" max="5" width="18.77734375" style="133" customWidth="1"/>
  </cols>
  <sheetData>
    <row r="1" spans="1:5" x14ac:dyDescent="0.3">
      <c r="A1" s="9" t="s">
        <v>0</v>
      </c>
      <c r="B1" s="1" t="s">
        <v>73</v>
      </c>
      <c r="C1" s="9" t="s">
        <v>1</v>
      </c>
      <c r="D1" s="9" t="s">
        <v>2</v>
      </c>
      <c r="E1" s="134" t="s">
        <v>348</v>
      </c>
    </row>
    <row r="2" spans="1:5" x14ac:dyDescent="0.3">
      <c r="A2" s="225" t="s">
        <v>355</v>
      </c>
      <c r="B2" s="225"/>
      <c r="C2" s="225"/>
      <c r="D2" s="225"/>
      <c r="E2" s="225"/>
    </row>
    <row r="3" spans="1:5" x14ac:dyDescent="0.3">
      <c r="A3" s="2" t="s">
        <v>221</v>
      </c>
      <c r="B3" s="4">
        <v>10</v>
      </c>
      <c r="C3" s="2">
        <v>77</v>
      </c>
      <c r="D3" s="2">
        <f>C3+(C3*0.05)</f>
        <v>80.849999999999994</v>
      </c>
      <c r="E3" s="224"/>
    </row>
    <row r="4" spans="1:5" x14ac:dyDescent="0.3">
      <c r="A4" s="86" t="s">
        <v>226</v>
      </c>
      <c r="B4" s="4">
        <v>10</v>
      </c>
      <c r="C4" s="2">
        <v>77</v>
      </c>
      <c r="D4" s="2">
        <f t="shared" ref="D4:D9" si="0">C4+(C4*0.05)</f>
        <v>80.849999999999994</v>
      </c>
      <c r="E4" s="224"/>
    </row>
    <row r="5" spans="1:5" x14ac:dyDescent="0.3">
      <c r="A5" s="89" t="s">
        <v>225</v>
      </c>
      <c r="B5" s="4">
        <v>10</v>
      </c>
      <c r="C5" s="2">
        <v>77</v>
      </c>
      <c r="D5" s="2">
        <f t="shared" si="0"/>
        <v>80.849999999999994</v>
      </c>
      <c r="E5" s="224"/>
    </row>
    <row r="6" spans="1:5" x14ac:dyDescent="0.3">
      <c r="A6" s="90" t="s">
        <v>224</v>
      </c>
      <c r="B6" s="4">
        <v>10</v>
      </c>
      <c r="C6" s="2">
        <v>77</v>
      </c>
      <c r="D6" s="2">
        <f t="shared" si="0"/>
        <v>80.849999999999994</v>
      </c>
      <c r="E6" s="224"/>
    </row>
    <row r="7" spans="1:5" x14ac:dyDescent="0.3">
      <c r="A7" s="91" t="s">
        <v>223</v>
      </c>
      <c r="B7" s="4">
        <v>10</v>
      </c>
      <c r="C7" s="2">
        <v>77</v>
      </c>
      <c r="D7" s="2">
        <f t="shared" si="0"/>
        <v>80.849999999999994</v>
      </c>
      <c r="E7" s="224"/>
    </row>
    <row r="8" spans="1:5" x14ac:dyDescent="0.3">
      <c r="A8" s="92" t="s">
        <v>222</v>
      </c>
      <c r="B8" s="4">
        <v>10</v>
      </c>
      <c r="C8" s="2">
        <v>77</v>
      </c>
      <c r="D8" s="2">
        <f t="shared" si="0"/>
        <v>80.849999999999994</v>
      </c>
      <c r="E8" s="224"/>
    </row>
    <row r="9" spans="1:5" x14ac:dyDescent="0.3">
      <c r="A9" s="93" t="s">
        <v>227</v>
      </c>
      <c r="B9" s="4">
        <v>10</v>
      </c>
      <c r="C9" s="2">
        <v>77</v>
      </c>
      <c r="D9" s="2">
        <f t="shared" si="0"/>
        <v>80.849999999999994</v>
      </c>
      <c r="E9" s="224"/>
    </row>
    <row r="10" spans="1:5" x14ac:dyDescent="0.3">
      <c r="A10" s="225" t="s">
        <v>354</v>
      </c>
      <c r="B10" s="225"/>
      <c r="C10" s="225"/>
      <c r="D10" s="225"/>
      <c r="E10" s="225"/>
    </row>
    <row r="11" spans="1:5" x14ac:dyDescent="0.3">
      <c r="A11" s="2" t="s">
        <v>221</v>
      </c>
      <c r="B11" s="4">
        <v>10</v>
      </c>
      <c r="C11" s="2">
        <v>67</v>
      </c>
      <c r="D11" s="2">
        <f>C11+(C11*0.05)</f>
        <v>70.349999999999994</v>
      </c>
      <c r="E11" s="224"/>
    </row>
    <row r="12" spans="1:5" x14ac:dyDescent="0.3">
      <c r="A12" s="86" t="s">
        <v>226</v>
      </c>
      <c r="B12" s="4">
        <v>10</v>
      </c>
      <c r="C12" s="2">
        <v>67</v>
      </c>
      <c r="D12" s="2">
        <f t="shared" ref="D12:D17" si="1">C12+(C12*0.05)</f>
        <v>70.349999999999994</v>
      </c>
      <c r="E12" s="224"/>
    </row>
    <row r="13" spans="1:5" x14ac:dyDescent="0.3">
      <c r="A13" s="89" t="s">
        <v>225</v>
      </c>
      <c r="B13" s="4">
        <v>10</v>
      </c>
      <c r="C13" s="2">
        <v>67</v>
      </c>
      <c r="D13" s="2">
        <f t="shared" si="1"/>
        <v>70.349999999999994</v>
      </c>
      <c r="E13" s="224"/>
    </row>
    <row r="14" spans="1:5" x14ac:dyDescent="0.3">
      <c r="A14" s="90" t="s">
        <v>224</v>
      </c>
      <c r="B14" s="4">
        <v>10</v>
      </c>
      <c r="C14" s="2">
        <v>67</v>
      </c>
      <c r="D14" s="2">
        <f t="shared" si="1"/>
        <v>70.349999999999994</v>
      </c>
      <c r="E14" s="224"/>
    </row>
    <row r="15" spans="1:5" x14ac:dyDescent="0.3">
      <c r="A15" s="91" t="s">
        <v>223</v>
      </c>
      <c r="B15" s="4">
        <v>10</v>
      </c>
      <c r="C15" s="2">
        <v>67</v>
      </c>
      <c r="D15" s="2">
        <f t="shared" si="1"/>
        <v>70.349999999999994</v>
      </c>
      <c r="E15" s="224"/>
    </row>
    <row r="16" spans="1:5" x14ac:dyDescent="0.3">
      <c r="A16" s="92" t="s">
        <v>222</v>
      </c>
      <c r="B16" s="4">
        <v>10</v>
      </c>
      <c r="C16" s="2">
        <v>67</v>
      </c>
      <c r="D16" s="2">
        <f t="shared" si="1"/>
        <v>70.349999999999994</v>
      </c>
      <c r="E16" s="224"/>
    </row>
    <row r="17" spans="1:5" x14ac:dyDescent="0.3">
      <c r="A17" s="93" t="s">
        <v>227</v>
      </c>
      <c r="B17" s="4">
        <v>10</v>
      </c>
      <c r="C17" s="2">
        <v>67</v>
      </c>
      <c r="D17" s="2">
        <f t="shared" si="1"/>
        <v>70.349999999999994</v>
      </c>
      <c r="E17" s="224"/>
    </row>
    <row r="18" spans="1:5" x14ac:dyDescent="0.3">
      <c r="A18" s="225" t="s">
        <v>346</v>
      </c>
      <c r="B18" s="225"/>
      <c r="C18" s="225"/>
      <c r="D18" s="225"/>
      <c r="E18" s="225"/>
    </row>
    <row r="19" spans="1:5" s="137" customFormat="1" ht="105" customHeight="1" x14ac:dyDescent="0.3">
      <c r="A19" s="136" t="s">
        <v>347</v>
      </c>
      <c r="B19" s="135">
        <v>10</v>
      </c>
      <c r="C19" s="136">
        <v>85</v>
      </c>
      <c r="D19" s="136">
        <f>C19+(C19*0.05)</f>
        <v>89.25</v>
      </c>
      <c r="E19" s="135"/>
    </row>
  </sheetData>
  <mergeCells count="5">
    <mergeCell ref="E3:E9"/>
    <mergeCell ref="E11:E17"/>
    <mergeCell ref="A2:E2"/>
    <mergeCell ref="A10:E10"/>
    <mergeCell ref="A18:E1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F35A-4E46-4B30-BEA0-8EB8E36F0CE9}">
  <sheetPr>
    <tabColor theme="5"/>
  </sheetPr>
  <dimension ref="A1:C3"/>
  <sheetViews>
    <sheetView zoomScaleNormal="60" zoomScaleSheetLayoutView="100" workbookViewId="0">
      <selection activeCell="D1" sqref="D1:D1048576"/>
    </sheetView>
  </sheetViews>
  <sheetFormatPr defaultRowHeight="14.4" x14ac:dyDescent="0.3"/>
  <cols>
    <col min="1" max="1" width="31.5546875" customWidth="1"/>
    <col min="2" max="3" width="0" hidden="1" customWidth="1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226" t="s">
        <v>364</v>
      </c>
      <c r="B2" s="226"/>
      <c r="C2" s="226"/>
    </row>
    <row r="3" spans="1:3" x14ac:dyDescent="0.3">
      <c r="A3" s="2" t="s">
        <v>365</v>
      </c>
      <c r="B3" s="2">
        <v>920</v>
      </c>
      <c r="C3" s="2">
        <f>B3+(B3*0.05)</f>
        <v>966</v>
      </c>
    </row>
  </sheetData>
  <mergeCells count="1">
    <mergeCell ref="A2:C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894C-85CA-48E8-A52E-F73F2F2E8118}">
  <sheetPr>
    <tabColor rgb="FFFF0000"/>
  </sheetPr>
  <dimension ref="A1:C36"/>
  <sheetViews>
    <sheetView workbookViewId="0">
      <selection activeCell="D1" sqref="D1:D1048576"/>
    </sheetView>
  </sheetViews>
  <sheetFormatPr defaultRowHeight="14.4" x14ac:dyDescent="0.3"/>
  <cols>
    <col min="1" max="1" width="48.77734375" customWidth="1"/>
    <col min="2" max="3" width="8.88671875" hidden="1" customWidth="1"/>
  </cols>
  <sheetData>
    <row r="1" spans="1:3" x14ac:dyDescent="0.3">
      <c r="A1" s="9" t="s">
        <v>0</v>
      </c>
      <c r="B1" s="9" t="s">
        <v>1</v>
      </c>
      <c r="C1" s="9" t="s">
        <v>2</v>
      </c>
    </row>
    <row r="2" spans="1:3" x14ac:dyDescent="0.3">
      <c r="A2" s="175" t="s">
        <v>182</v>
      </c>
      <c r="B2" s="175"/>
      <c r="C2" s="175"/>
    </row>
    <row r="3" spans="1:3" x14ac:dyDescent="0.3">
      <c r="A3" s="2" t="s">
        <v>32</v>
      </c>
      <c r="B3" s="2">
        <v>332</v>
      </c>
      <c r="C3" s="2">
        <f>B3+(B3*0.1)</f>
        <v>365.2</v>
      </c>
    </row>
    <row r="4" spans="1:3" x14ac:dyDescent="0.3">
      <c r="A4" s="2" t="s">
        <v>157</v>
      </c>
      <c r="B4" s="2">
        <v>74</v>
      </c>
      <c r="C4" s="2">
        <f t="shared" ref="C4:C16" si="0">B4+(B4*0.1)</f>
        <v>81.400000000000006</v>
      </c>
    </row>
    <row r="5" spans="1:3" x14ac:dyDescent="0.3">
      <c r="A5" s="2" t="s">
        <v>210</v>
      </c>
      <c r="B5" s="2">
        <v>98</v>
      </c>
      <c r="C5" s="2">
        <f t="shared" si="0"/>
        <v>107.8</v>
      </c>
    </row>
    <row r="6" spans="1:3" x14ac:dyDescent="0.3">
      <c r="A6" s="2" t="s">
        <v>154</v>
      </c>
      <c r="B6" s="2">
        <v>180.25</v>
      </c>
      <c r="C6" s="2">
        <f t="shared" si="0"/>
        <v>198.27500000000001</v>
      </c>
    </row>
    <row r="7" spans="1:3" x14ac:dyDescent="0.3">
      <c r="A7" s="2" t="s">
        <v>106</v>
      </c>
      <c r="B7" s="2">
        <v>246.4</v>
      </c>
      <c r="C7" s="2">
        <f t="shared" si="0"/>
        <v>271.04000000000002</v>
      </c>
    </row>
    <row r="8" spans="1:3" x14ac:dyDescent="0.3">
      <c r="A8" s="2" t="s">
        <v>233</v>
      </c>
      <c r="B8" s="2">
        <v>516</v>
      </c>
      <c r="C8" s="2">
        <f t="shared" si="0"/>
        <v>567.6</v>
      </c>
    </row>
    <row r="9" spans="1:3" x14ac:dyDescent="0.3">
      <c r="A9" s="2" t="s">
        <v>290</v>
      </c>
      <c r="B9" s="2">
        <v>83</v>
      </c>
      <c r="C9" s="2">
        <f t="shared" si="0"/>
        <v>91.3</v>
      </c>
    </row>
    <row r="10" spans="1:3" x14ac:dyDescent="0.3">
      <c r="A10" s="2" t="s">
        <v>291</v>
      </c>
      <c r="B10" s="2">
        <v>205.62</v>
      </c>
      <c r="C10" s="2">
        <f t="shared" si="0"/>
        <v>226.18200000000002</v>
      </c>
    </row>
    <row r="11" spans="1:3" x14ac:dyDescent="0.3">
      <c r="A11" s="2" t="s">
        <v>232</v>
      </c>
      <c r="B11" s="2">
        <v>563.20000000000005</v>
      </c>
      <c r="C11" s="2">
        <f t="shared" si="0"/>
        <v>619.5200000000001</v>
      </c>
    </row>
    <row r="12" spans="1:3" x14ac:dyDescent="0.3">
      <c r="A12" s="2" t="s">
        <v>366</v>
      </c>
      <c r="B12" s="2">
        <v>650</v>
      </c>
      <c r="C12" s="2">
        <f>B12+(B12*0.1)</f>
        <v>715</v>
      </c>
    </row>
    <row r="13" spans="1:3" x14ac:dyDescent="0.3">
      <c r="A13" s="2" t="s">
        <v>209</v>
      </c>
      <c r="B13" s="2">
        <v>341</v>
      </c>
      <c r="C13" s="2">
        <f t="shared" si="0"/>
        <v>375.1</v>
      </c>
    </row>
    <row r="14" spans="1:3" x14ac:dyDescent="0.3">
      <c r="A14" s="2" t="s">
        <v>208</v>
      </c>
      <c r="B14" s="2">
        <v>363.12</v>
      </c>
      <c r="C14" s="2">
        <f t="shared" si="0"/>
        <v>399.43200000000002</v>
      </c>
    </row>
    <row r="15" spans="1:3" x14ac:dyDescent="0.3">
      <c r="A15" s="2" t="s">
        <v>236</v>
      </c>
      <c r="B15" s="2">
        <v>35</v>
      </c>
      <c r="C15" s="2">
        <f t="shared" si="0"/>
        <v>38.5</v>
      </c>
    </row>
    <row r="16" spans="1:3" x14ac:dyDescent="0.3">
      <c r="A16" s="2" t="s">
        <v>297</v>
      </c>
      <c r="B16" s="2">
        <v>69</v>
      </c>
      <c r="C16" s="2">
        <f t="shared" si="0"/>
        <v>75.900000000000006</v>
      </c>
    </row>
    <row r="17" spans="1:3" x14ac:dyDescent="0.3">
      <c r="A17" s="175" t="s">
        <v>92</v>
      </c>
      <c r="B17" s="175"/>
      <c r="C17" s="175"/>
    </row>
    <row r="18" spans="1:3" x14ac:dyDescent="0.3">
      <c r="A18" s="2" t="s">
        <v>99</v>
      </c>
      <c r="B18" s="2">
        <v>498.75</v>
      </c>
      <c r="C18" s="2">
        <f>B18+(B18*0.2)</f>
        <v>598.5</v>
      </c>
    </row>
    <row r="19" spans="1:3" x14ac:dyDescent="0.3">
      <c r="A19" s="2" t="s">
        <v>104</v>
      </c>
      <c r="B19" s="2">
        <v>611.63</v>
      </c>
      <c r="C19" s="2">
        <f>B19+(B19*0.2)</f>
        <v>733.95600000000002</v>
      </c>
    </row>
    <row r="20" spans="1:3" x14ac:dyDescent="0.3">
      <c r="A20" s="2" t="s">
        <v>100</v>
      </c>
      <c r="B20" s="2">
        <v>874.125</v>
      </c>
      <c r="C20" s="2">
        <f>B20+(B20*0.2)</f>
        <v>1048.95</v>
      </c>
    </row>
    <row r="21" spans="1:3" x14ac:dyDescent="0.3">
      <c r="A21" s="2" t="s">
        <v>248</v>
      </c>
      <c r="B21" s="2">
        <v>1224.125</v>
      </c>
      <c r="C21" s="2">
        <f>B21+(B21*0.2)</f>
        <v>1468.95</v>
      </c>
    </row>
    <row r="22" spans="1:3" x14ac:dyDescent="0.3">
      <c r="A22" s="106" t="s">
        <v>292</v>
      </c>
      <c r="B22" s="2">
        <v>68.25</v>
      </c>
      <c r="C22" s="2">
        <f>B22+(B22*0.2)</f>
        <v>81.900000000000006</v>
      </c>
    </row>
    <row r="23" spans="1:3" x14ac:dyDescent="0.3">
      <c r="A23" s="175" t="s">
        <v>105</v>
      </c>
      <c r="B23" s="175"/>
      <c r="C23" s="175"/>
    </row>
    <row r="24" spans="1:3" x14ac:dyDescent="0.3">
      <c r="A24" s="2" t="s">
        <v>152</v>
      </c>
      <c r="B24" s="2">
        <v>105</v>
      </c>
      <c r="C24" s="2">
        <f>B24+(B24*0.2)</f>
        <v>126</v>
      </c>
    </row>
    <row r="25" spans="1:3" x14ac:dyDescent="0.3">
      <c r="A25" s="2" t="s">
        <v>295</v>
      </c>
      <c r="B25" s="2">
        <v>151</v>
      </c>
      <c r="C25" s="2">
        <f>B25+(B25*0.2)</f>
        <v>181.2</v>
      </c>
    </row>
    <row r="26" spans="1:3" x14ac:dyDescent="0.3">
      <c r="A26" s="2" t="s">
        <v>296</v>
      </c>
      <c r="B26" s="2">
        <v>129</v>
      </c>
      <c r="C26" s="2">
        <f>B26+(B26*0.2)</f>
        <v>154.80000000000001</v>
      </c>
    </row>
    <row r="27" spans="1:3" x14ac:dyDescent="0.3">
      <c r="A27" s="2" t="s">
        <v>153</v>
      </c>
      <c r="B27" s="2">
        <v>87.4</v>
      </c>
      <c r="C27" s="2">
        <f>B27+(B27*0.2)</f>
        <v>104.88000000000001</v>
      </c>
    </row>
    <row r="28" spans="1:3" x14ac:dyDescent="0.3">
      <c r="A28" s="2" t="s">
        <v>244</v>
      </c>
      <c r="B28" s="2">
        <v>1050</v>
      </c>
      <c r="C28" s="2">
        <f>B28+(B28*0.2)</f>
        <v>1260</v>
      </c>
    </row>
    <row r="29" spans="1:3" x14ac:dyDescent="0.3">
      <c r="A29" s="175" t="s">
        <v>183</v>
      </c>
      <c r="B29" s="175"/>
      <c r="C29" s="175"/>
    </row>
    <row r="30" spans="1:3" x14ac:dyDescent="0.3">
      <c r="A30" s="2" t="s">
        <v>107</v>
      </c>
      <c r="B30" s="2">
        <v>250</v>
      </c>
      <c r="C30" s="2">
        <f>B30+(B30*0.2)</f>
        <v>300</v>
      </c>
    </row>
    <row r="31" spans="1:3" x14ac:dyDescent="0.3">
      <c r="A31" s="2" t="s">
        <v>185</v>
      </c>
      <c r="B31" s="2">
        <v>149</v>
      </c>
      <c r="C31" s="2">
        <f>B31+(B31*0.2)</f>
        <v>178.8</v>
      </c>
    </row>
    <row r="32" spans="1:3" x14ac:dyDescent="0.3">
      <c r="A32" s="175" t="s">
        <v>184</v>
      </c>
      <c r="B32" s="175"/>
      <c r="C32" s="175"/>
    </row>
    <row r="33" spans="1:3" x14ac:dyDescent="0.3">
      <c r="A33" s="2" t="s">
        <v>155</v>
      </c>
      <c r="B33" s="2">
        <v>658</v>
      </c>
      <c r="C33" s="2">
        <f>B33+(B33*0.1)</f>
        <v>723.8</v>
      </c>
    </row>
    <row r="34" spans="1:3" x14ac:dyDescent="0.3">
      <c r="A34" s="2" t="s">
        <v>156</v>
      </c>
      <c r="B34" s="2">
        <v>48</v>
      </c>
      <c r="C34" s="2">
        <f>B34+(B34*0.1)</f>
        <v>52.8</v>
      </c>
    </row>
    <row r="35" spans="1:3" x14ac:dyDescent="0.3">
      <c r="A35" s="175" t="s">
        <v>187</v>
      </c>
      <c r="B35" s="175"/>
      <c r="C35" s="175"/>
    </row>
    <row r="36" spans="1:3" x14ac:dyDescent="0.3">
      <c r="A36" s="2" t="s">
        <v>186</v>
      </c>
      <c r="B36" s="2">
        <v>51</v>
      </c>
      <c r="C36" s="2">
        <f>B36+(B36*0.1)</f>
        <v>56.1</v>
      </c>
    </row>
  </sheetData>
  <mergeCells count="6">
    <mergeCell ref="A35:C35"/>
    <mergeCell ref="A2:C2"/>
    <mergeCell ref="A17:C17"/>
    <mergeCell ref="A23:C23"/>
    <mergeCell ref="A29:C29"/>
    <mergeCell ref="A32:C32"/>
  </mergeCells>
  <phoneticPr fontId="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6887-2C20-4AD3-ABB9-3FE3D84952F3}">
  <sheetPr>
    <tabColor rgb="FF7030A0"/>
  </sheetPr>
  <dimension ref="A1:C88"/>
  <sheetViews>
    <sheetView workbookViewId="0">
      <selection activeCell="D1" sqref="D1:D1048576"/>
    </sheetView>
  </sheetViews>
  <sheetFormatPr defaultColWidth="8.5546875" defaultRowHeight="14.4" x14ac:dyDescent="0.3"/>
  <cols>
    <col min="1" max="1" width="37" style="63" customWidth="1"/>
    <col min="2" max="2" width="8.88671875" style="3" hidden="1" customWidth="1"/>
    <col min="3" max="3" width="7.5546875" style="3" hidden="1" customWidth="1"/>
  </cols>
  <sheetData>
    <row r="1" spans="1:3" x14ac:dyDescent="0.3">
      <c r="A1" s="59" t="s">
        <v>0</v>
      </c>
      <c r="B1" s="1" t="s">
        <v>1</v>
      </c>
      <c r="C1" s="1" t="s">
        <v>2</v>
      </c>
    </row>
    <row r="2" spans="1:3" x14ac:dyDescent="0.3">
      <c r="A2" s="227" t="s">
        <v>43</v>
      </c>
      <c r="B2" s="227"/>
      <c r="C2" s="227"/>
    </row>
    <row r="3" spans="1:3" s="58" customFormat="1" x14ac:dyDescent="0.3">
      <c r="A3" s="60" t="s">
        <v>102</v>
      </c>
      <c r="B3" s="13">
        <v>18</v>
      </c>
      <c r="C3" s="13">
        <f>B3+(B3*0.1)</f>
        <v>19.8</v>
      </c>
    </row>
    <row r="4" spans="1:3" x14ac:dyDescent="0.3">
      <c r="A4" s="60" t="s">
        <v>44</v>
      </c>
      <c r="B4" s="13">
        <v>110</v>
      </c>
      <c r="C4" s="13">
        <f>B4+(B4*0.1)</f>
        <v>121</v>
      </c>
    </row>
    <row r="5" spans="1:3" x14ac:dyDescent="0.3">
      <c r="A5" s="227" t="s">
        <v>18</v>
      </c>
      <c r="B5" s="227"/>
      <c r="C5" s="227"/>
    </row>
    <row r="6" spans="1:3" x14ac:dyDescent="0.3">
      <c r="A6" s="57" t="s">
        <v>59</v>
      </c>
      <c r="B6" s="4">
        <v>23</v>
      </c>
      <c r="C6" s="4">
        <f>B6+(B6*0.1)</f>
        <v>25.3</v>
      </c>
    </row>
    <row r="7" spans="1:3" x14ac:dyDescent="0.3">
      <c r="A7" s="57" t="s">
        <v>103</v>
      </c>
      <c r="B7" s="4">
        <v>44</v>
      </c>
      <c r="C7" s="4">
        <f>B7+(B7*0.1)</f>
        <v>48.4</v>
      </c>
    </row>
    <row r="8" spans="1:3" x14ac:dyDescent="0.3">
      <c r="A8" s="57" t="s">
        <v>353</v>
      </c>
      <c r="B8" s="4">
        <v>78</v>
      </c>
      <c r="C8" s="4">
        <f>B8+(B8*0.1)</f>
        <v>85.8</v>
      </c>
    </row>
    <row r="9" spans="1:3" x14ac:dyDescent="0.3">
      <c r="A9" s="227" t="s">
        <v>190</v>
      </c>
      <c r="B9" s="227"/>
      <c r="C9" s="227"/>
    </row>
    <row r="10" spans="1:3" x14ac:dyDescent="0.3">
      <c r="A10" s="57" t="s">
        <v>189</v>
      </c>
      <c r="B10" s="4">
        <v>21</v>
      </c>
      <c r="C10" s="4">
        <f>B10+(B10*0.1)</f>
        <v>23.1</v>
      </c>
    </row>
    <row r="11" spans="1:3" x14ac:dyDescent="0.3">
      <c r="A11" s="227" t="s">
        <v>168</v>
      </c>
      <c r="B11" s="227"/>
      <c r="C11" s="227"/>
    </row>
    <row r="12" spans="1:3" x14ac:dyDescent="0.3">
      <c r="A12" s="57" t="s">
        <v>19</v>
      </c>
      <c r="B12" s="4">
        <v>140</v>
      </c>
      <c r="C12" s="4">
        <f>B12+(B12*0.1)</f>
        <v>154</v>
      </c>
    </row>
    <row r="13" spans="1:3" x14ac:dyDescent="0.3">
      <c r="A13" s="57" t="s">
        <v>169</v>
      </c>
      <c r="B13" s="4">
        <v>95</v>
      </c>
      <c r="C13" s="4">
        <f>B13+(B13*0.1)</f>
        <v>104.5</v>
      </c>
    </row>
    <row r="14" spans="1:3" x14ac:dyDescent="0.3">
      <c r="A14" s="57" t="s">
        <v>170</v>
      </c>
      <c r="B14" s="4">
        <v>165</v>
      </c>
      <c r="C14" s="4">
        <f>B14+(B14*0.1)</f>
        <v>181.5</v>
      </c>
    </row>
    <row r="15" spans="1:3" x14ac:dyDescent="0.3">
      <c r="A15" s="57" t="s">
        <v>171</v>
      </c>
      <c r="B15" s="4">
        <v>200</v>
      </c>
      <c r="C15" s="4">
        <f>B15+(B15*0.1)</f>
        <v>220</v>
      </c>
    </row>
    <row r="16" spans="1:3" x14ac:dyDescent="0.3">
      <c r="A16" s="57" t="s">
        <v>188</v>
      </c>
      <c r="B16" s="4">
        <v>340</v>
      </c>
      <c r="C16" s="4">
        <f>B16+(B16*0.1)</f>
        <v>374</v>
      </c>
    </row>
    <row r="17" spans="1:3" x14ac:dyDescent="0.3">
      <c r="A17" s="228" t="s">
        <v>35</v>
      </c>
      <c r="B17" s="229"/>
      <c r="C17" s="229"/>
    </row>
    <row r="18" spans="1:3" x14ac:dyDescent="0.3">
      <c r="A18" s="57" t="s">
        <v>34</v>
      </c>
      <c r="B18" s="4">
        <v>40</v>
      </c>
      <c r="C18" s="4">
        <f>B18+(B18*0.05)</f>
        <v>42</v>
      </c>
    </row>
    <row r="19" spans="1:3" x14ac:dyDescent="0.3">
      <c r="A19" s="227" t="s">
        <v>36</v>
      </c>
      <c r="B19" s="227"/>
      <c r="C19" s="227"/>
    </row>
    <row r="20" spans="1:3" x14ac:dyDescent="0.3">
      <c r="A20" s="57" t="s">
        <v>37</v>
      </c>
      <c r="B20" s="4">
        <v>75</v>
      </c>
      <c r="C20" s="4">
        <f>B20+(B20*0.05)</f>
        <v>78.75</v>
      </c>
    </row>
    <row r="21" spans="1:3" x14ac:dyDescent="0.3">
      <c r="A21" s="57" t="s">
        <v>38</v>
      </c>
      <c r="B21" s="4">
        <v>103</v>
      </c>
      <c r="C21" s="4">
        <f>B21+(B21*0.05)</f>
        <v>108.15</v>
      </c>
    </row>
    <row r="22" spans="1:3" x14ac:dyDescent="0.3">
      <c r="A22" s="227" t="s">
        <v>139</v>
      </c>
      <c r="B22" s="227"/>
      <c r="C22" s="227"/>
    </row>
    <row r="23" spans="1:3" x14ac:dyDescent="0.3">
      <c r="A23" s="68" t="s">
        <v>140</v>
      </c>
      <c r="B23" s="81">
        <v>90</v>
      </c>
      <c r="C23" s="4">
        <f>B23+(B23*0.05)</f>
        <v>94.5</v>
      </c>
    </row>
    <row r="24" spans="1:3" x14ac:dyDescent="0.3">
      <c r="A24" s="230" t="s">
        <v>40</v>
      </c>
      <c r="B24" s="230"/>
      <c r="C24" s="230"/>
    </row>
    <row r="25" spans="1:3" x14ac:dyDescent="0.3">
      <c r="A25" s="57" t="s">
        <v>39</v>
      </c>
      <c r="B25" s="4">
        <v>110</v>
      </c>
      <c r="C25" s="4">
        <f>B25+(B25*0.05)</f>
        <v>115.5</v>
      </c>
    </row>
    <row r="26" spans="1:3" x14ac:dyDescent="0.3">
      <c r="A26" s="57" t="s">
        <v>308</v>
      </c>
      <c r="B26" s="4">
        <v>145</v>
      </c>
      <c r="C26" s="4">
        <f>B26+(B26*0.05)</f>
        <v>152.25</v>
      </c>
    </row>
    <row r="27" spans="1:3" x14ac:dyDescent="0.3">
      <c r="A27" s="227" t="s">
        <v>239</v>
      </c>
      <c r="B27" s="227"/>
      <c r="C27" s="227"/>
    </row>
    <row r="28" spans="1:3" x14ac:dyDescent="0.3">
      <c r="A28" s="57" t="s">
        <v>240</v>
      </c>
      <c r="B28" s="4">
        <v>55</v>
      </c>
      <c r="C28" s="4">
        <f>B28+(B28*0.05)</f>
        <v>57.75</v>
      </c>
    </row>
    <row r="29" spans="1:3" x14ac:dyDescent="0.3">
      <c r="A29" s="57" t="s">
        <v>241</v>
      </c>
      <c r="B29" s="4">
        <v>75</v>
      </c>
      <c r="C29" s="4">
        <f>B29+(B29*0.05)</f>
        <v>78.75</v>
      </c>
    </row>
    <row r="30" spans="1:3" x14ac:dyDescent="0.3">
      <c r="A30" s="57" t="s">
        <v>370</v>
      </c>
      <c r="B30" s="4">
        <v>85</v>
      </c>
      <c r="C30" s="4">
        <f>B30+(B30*0.05)</f>
        <v>89.25</v>
      </c>
    </row>
    <row r="31" spans="1:3" x14ac:dyDescent="0.3">
      <c r="A31" s="227" t="s">
        <v>165</v>
      </c>
      <c r="B31" s="227"/>
      <c r="C31" s="227"/>
    </row>
    <row r="32" spans="1:3" x14ac:dyDescent="0.3">
      <c r="A32" s="57" t="s">
        <v>195</v>
      </c>
      <c r="B32" s="4">
        <v>11.5</v>
      </c>
      <c r="C32" s="4">
        <f>B32+(B32*0.05)</f>
        <v>12.074999999999999</v>
      </c>
    </row>
    <row r="33" spans="1:3" x14ac:dyDescent="0.3">
      <c r="A33" s="57" t="s">
        <v>166</v>
      </c>
      <c r="B33" s="4">
        <v>12</v>
      </c>
      <c r="C33" s="4">
        <f>B33+(B33*0.15)</f>
        <v>13.8</v>
      </c>
    </row>
    <row r="34" spans="1:3" x14ac:dyDescent="0.3">
      <c r="A34" s="57" t="s">
        <v>167</v>
      </c>
      <c r="B34" s="4">
        <v>14</v>
      </c>
      <c r="C34" s="4">
        <f>B34+(B34*0.15)</f>
        <v>16.100000000000001</v>
      </c>
    </row>
    <row r="35" spans="1:3" x14ac:dyDescent="0.3">
      <c r="A35" s="228" t="s">
        <v>97</v>
      </c>
      <c r="B35" s="229"/>
      <c r="C35" s="229"/>
    </row>
    <row r="36" spans="1:3" x14ac:dyDescent="0.3">
      <c r="A36" s="63" t="s">
        <v>108</v>
      </c>
      <c r="B36" s="3">
        <v>4</v>
      </c>
      <c r="C36" s="4">
        <f>B36+(B36*0.05)</f>
        <v>4.2</v>
      </c>
    </row>
    <row r="37" spans="1:3" x14ac:dyDescent="0.3">
      <c r="A37" s="57" t="s">
        <v>98</v>
      </c>
      <c r="B37" s="4">
        <v>10</v>
      </c>
      <c r="C37" s="4">
        <f>B37+(B37*0.05)</f>
        <v>10.5</v>
      </c>
    </row>
    <row r="38" spans="1:3" x14ac:dyDescent="0.3">
      <c r="A38" s="227" t="s">
        <v>41</v>
      </c>
      <c r="B38" s="227"/>
      <c r="C38" s="227"/>
    </row>
    <row r="39" spans="1:3" x14ac:dyDescent="0.3">
      <c r="A39" s="61" t="s">
        <v>42</v>
      </c>
      <c r="B39" s="4">
        <v>80</v>
      </c>
      <c r="C39" s="4">
        <f>B39+(B39*0.05)</f>
        <v>84</v>
      </c>
    </row>
    <row r="40" spans="1:3" x14ac:dyDescent="0.3">
      <c r="A40" s="61" t="s">
        <v>82</v>
      </c>
      <c r="B40" s="4">
        <v>115</v>
      </c>
      <c r="C40" s="4">
        <f>B40+(B40*0.05)</f>
        <v>120.75</v>
      </c>
    </row>
    <row r="41" spans="1:3" x14ac:dyDescent="0.3">
      <c r="A41" s="232" t="s">
        <v>230</v>
      </c>
      <c r="B41" s="233"/>
      <c r="C41" s="233"/>
    </row>
    <row r="42" spans="1:3" x14ac:dyDescent="0.3">
      <c r="A42" s="94" t="s">
        <v>60</v>
      </c>
      <c r="B42" s="51">
        <v>21</v>
      </c>
      <c r="C42" s="51">
        <f>B42+(B42*0.05)</f>
        <v>22.05</v>
      </c>
    </row>
    <row r="43" spans="1:3" x14ac:dyDescent="0.3">
      <c r="A43" s="227" t="s">
        <v>84</v>
      </c>
      <c r="B43" s="231"/>
      <c r="C43" s="231"/>
    </row>
    <row r="44" spans="1:3" x14ac:dyDescent="0.3">
      <c r="A44" s="62" t="s">
        <v>83</v>
      </c>
      <c r="B44" s="26">
        <v>185</v>
      </c>
      <c r="C44" s="26">
        <f>B44+(B44*0.05)</f>
        <v>194.25</v>
      </c>
    </row>
    <row r="45" spans="1:3" x14ac:dyDescent="0.3">
      <c r="A45" s="227" t="s">
        <v>87</v>
      </c>
      <c r="B45" s="227"/>
      <c r="C45" s="227"/>
    </row>
    <row r="46" spans="1:3" x14ac:dyDescent="0.3">
      <c r="A46" s="57" t="s">
        <v>88</v>
      </c>
      <c r="B46" s="4">
        <v>33</v>
      </c>
      <c r="C46" s="4">
        <f>B46+(B46*0.05)</f>
        <v>34.65</v>
      </c>
    </row>
    <row r="47" spans="1:3" x14ac:dyDescent="0.3">
      <c r="A47" s="57" t="s">
        <v>89</v>
      </c>
      <c r="B47" s="4">
        <v>36</v>
      </c>
      <c r="C47" s="4">
        <f>B47+(B47*0.05)</f>
        <v>37.799999999999997</v>
      </c>
    </row>
    <row r="48" spans="1:3" x14ac:dyDescent="0.3">
      <c r="A48" s="227" t="s">
        <v>90</v>
      </c>
      <c r="B48" s="227"/>
      <c r="C48" s="227"/>
    </row>
    <row r="49" spans="1:3" x14ac:dyDescent="0.3">
      <c r="A49" s="57" t="s">
        <v>91</v>
      </c>
      <c r="B49" s="4">
        <v>20</v>
      </c>
      <c r="C49" s="4">
        <f>B49+(B49*0.1)</f>
        <v>22</v>
      </c>
    </row>
    <row r="50" spans="1:3" x14ac:dyDescent="0.3">
      <c r="A50" s="227" t="s">
        <v>162</v>
      </c>
      <c r="B50" s="227"/>
      <c r="C50" s="227"/>
    </row>
    <row r="51" spans="1:3" x14ac:dyDescent="0.3">
      <c r="A51" s="57" t="s">
        <v>101</v>
      </c>
      <c r="B51" s="4">
        <v>32</v>
      </c>
      <c r="C51" s="4">
        <f>B51+(B51*0.1)</f>
        <v>35.200000000000003</v>
      </c>
    </row>
    <row r="52" spans="1:3" x14ac:dyDescent="0.3">
      <c r="A52" s="57" t="s">
        <v>161</v>
      </c>
      <c r="B52" s="4">
        <v>13</v>
      </c>
      <c r="C52" s="4">
        <f>B52+(B52*0.1)</f>
        <v>14.3</v>
      </c>
    </row>
    <row r="53" spans="1:3" x14ac:dyDescent="0.3">
      <c r="A53" s="57" t="s">
        <v>163</v>
      </c>
      <c r="B53" s="4">
        <v>15</v>
      </c>
      <c r="C53" s="4">
        <f>B53+(B53*0.1)</f>
        <v>16.5</v>
      </c>
    </row>
    <row r="54" spans="1:3" x14ac:dyDescent="0.3">
      <c r="A54" s="227" t="s">
        <v>134</v>
      </c>
      <c r="B54" s="227"/>
      <c r="C54" s="227"/>
    </row>
    <row r="55" spans="1:3" x14ac:dyDescent="0.3">
      <c r="A55" s="57" t="s">
        <v>130</v>
      </c>
      <c r="B55" s="4">
        <v>84</v>
      </c>
      <c r="C55" s="4">
        <f t="shared" ref="C55:C67" si="0">B55+(B55*0.1)</f>
        <v>92.4</v>
      </c>
    </row>
    <row r="56" spans="1:3" x14ac:dyDescent="0.3">
      <c r="A56" s="57" t="s">
        <v>131</v>
      </c>
      <c r="B56" s="4">
        <v>112</v>
      </c>
      <c r="C56" s="4">
        <f t="shared" si="0"/>
        <v>123.2</v>
      </c>
    </row>
    <row r="57" spans="1:3" x14ac:dyDescent="0.3">
      <c r="A57" s="57" t="s">
        <v>282</v>
      </c>
      <c r="B57" s="4">
        <v>126</v>
      </c>
      <c r="C57" s="4">
        <f t="shared" si="0"/>
        <v>138.6</v>
      </c>
    </row>
    <row r="58" spans="1:3" x14ac:dyDescent="0.3">
      <c r="A58" s="57" t="s">
        <v>313</v>
      </c>
      <c r="B58" s="4">
        <v>133</v>
      </c>
      <c r="C58" s="4">
        <f t="shared" si="0"/>
        <v>146.30000000000001</v>
      </c>
    </row>
    <row r="59" spans="1:3" x14ac:dyDescent="0.3">
      <c r="A59" s="57" t="s">
        <v>132</v>
      </c>
      <c r="B59" s="4">
        <v>140</v>
      </c>
      <c r="C59" s="4">
        <f t="shared" si="0"/>
        <v>154</v>
      </c>
    </row>
    <row r="60" spans="1:3" x14ac:dyDescent="0.3">
      <c r="A60" s="57" t="s">
        <v>266</v>
      </c>
      <c r="B60" s="4">
        <v>154</v>
      </c>
      <c r="C60" s="4">
        <f t="shared" si="0"/>
        <v>169.4</v>
      </c>
    </row>
    <row r="61" spans="1:3" x14ac:dyDescent="0.3">
      <c r="A61" s="57" t="s">
        <v>133</v>
      </c>
      <c r="B61" s="4">
        <v>175</v>
      </c>
      <c r="C61" s="4">
        <f t="shared" si="0"/>
        <v>192.5</v>
      </c>
    </row>
    <row r="62" spans="1:3" x14ac:dyDescent="0.3">
      <c r="A62" s="57" t="s">
        <v>135</v>
      </c>
      <c r="B62" s="4">
        <v>224</v>
      </c>
      <c r="C62" s="4">
        <f t="shared" si="0"/>
        <v>246.4</v>
      </c>
    </row>
    <row r="63" spans="1:3" x14ac:dyDescent="0.3">
      <c r="A63" s="57" t="s">
        <v>281</v>
      </c>
      <c r="B63" s="4">
        <v>245</v>
      </c>
      <c r="C63" s="4">
        <f t="shared" si="0"/>
        <v>269.5</v>
      </c>
    </row>
    <row r="64" spans="1:3" x14ac:dyDescent="0.3">
      <c r="A64" s="57" t="s">
        <v>267</v>
      </c>
      <c r="B64" s="4">
        <v>308</v>
      </c>
      <c r="C64" s="4">
        <f t="shared" si="0"/>
        <v>338.8</v>
      </c>
    </row>
    <row r="65" spans="1:3" x14ac:dyDescent="0.3">
      <c r="A65" s="57" t="s">
        <v>270</v>
      </c>
      <c r="B65" s="4">
        <v>350</v>
      </c>
      <c r="C65" s="4">
        <f t="shared" si="0"/>
        <v>385</v>
      </c>
    </row>
    <row r="66" spans="1:3" x14ac:dyDescent="0.3">
      <c r="A66" s="57" t="s">
        <v>279</v>
      </c>
      <c r="B66" s="4">
        <v>399</v>
      </c>
      <c r="C66" s="4">
        <f t="shared" si="0"/>
        <v>438.9</v>
      </c>
    </row>
    <row r="67" spans="1:3" x14ac:dyDescent="0.3">
      <c r="A67" s="57" t="s">
        <v>280</v>
      </c>
      <c r="B67" s="4">
        <v>441</v>
      </c>
      <c r="C67" s="4">
        <f t="shared" si="0"/>
        <v>485.1</v>
      </c>
    </row>
    <row r="68" spans="1:3" x14ac:dyDescent="0.3">
      <c r="A68" s="227" t="s">
        <v>138</v>
      </c>
      <c r="B68" s="227"/>
      <c r="C68" s="227"/>
    </row>
    <row r="69" spans="1:3" x14ac:dyDescent="0.3">
      <c r="A69" s="57" t="s">
        <v>341</v>
      </c>
      <c r="B69" s="130">
        <v>38</v>
      </c>
      <c r="C69" s="4">
        <f>B69+(B69*0.1)</f>
        <v>41.8</v>
      </c>
    </row>
    <row r="70" spans="1:3" x14ac:dyDescent="0.3">
      <c r="A70" s="57" t="s">
        <v>322</v>
      </c>
      <c r="B70" s="4">
        <v>38</v>
      </c>
      <c r="C70" s="4">
        <f>B70+(B70*0.1)</f>
        <v>41.8</v>
      </c>
    </row>
    <row r="71" spans="1:3" x14ac:dyDescent="0.3">
      <c r="A71" s="57" t="s">
        <v>323</v>
      </c>
      <c r="B71" s="4">
        <v>45</v>
      </c>
      <c r="C71" s="4">
        <f t="shared" ref="C71:C78" si="1">B71+(B71*0.1)</f>
        <v>49.5</v>
      </c>
    </row>
    <row r="72" spans="1:3" x14ac:dyDescent="0.3">
      <c r="A72" s="57" t="s">
        <v>324</v>
      </c>
      <c r="B72" s="4">
        <v>40</v>
      </c>
      <c r="C72" s="4">
        <f t="shared" si="1"/>
        <v>44</v>
      </c>
    </row>
    <row r="73" spans="1:3" x14ac:dyDescent="0.3">
      <c r="A73" s="57" t="s">
        <v>325</v>
      </c>
      <c r="B73" s="4">
        <v>51</v>
      </c>
      <c r="C73" s="4">
        <f t="shared" si="1"/>
        <v>56.1</v>
      </c>
    </row>
    <row r="74" spans="1:3" x14ac:dyDescent="0.3">
      <c r="A74" s="57" t="s">
        <v>326</v>
      </c>
      <c r="B74" s="4">
        <v>53.1</v>
      </c>
      <c r="C74" s="4">
        <f t="shared" si="1"/>
        <v>58.410000000000004</v>
      </c>
    </row>
    <row r="75" spans="1:3" x14ac:dyDescent="0.3">
      <c r="A75" s="57" t="s">
        <v>327</v>
      </c>
      <c r="B75" s="4">
        <v>60</v>
      </c>
      <c r="C75" s="4">
        <f t="shared" si="1"/>
        <v>66</v>
      </c>
    </row>
    <row r="76" spans="1:3" x14ac:dyDescent="0.3">
      <c r="A76" s="57" t="s">
        <v>328</v>
      </c>
      <c r="B76" s="4">
        <v>60</v>
      </c>
      <c r="C76" s="4">
        <f t="shared" si="1"/>
        <v>66</v>
      </c>
    </row>
    <row r="77" spans="1:3" x14ac:dyDescent="0.3">
      <c r="A77" s="57" t="s">
        <v>329</v>
      </c>
      <c r="B77" s="4">
        <v>80</v>
      </c>
      <c r="C77" s="4">
        <f t="shared" si="1"/>
        <v>88</v>
      </c>
    </row>
    <row r="78" spans="1:3" x14ac:dyDescent="0.3">
      <c r="A78" s="57" t="s">
        <v>330</v>
      </c>
      <c r="B78" s="4">
        <v>105</v>
      </c>
      <c r="C78" s="4">
        <f t="shared" si="1"/>
        <v>115.5</v>
      </c>
    </row>
    <row r="79" spans="1:3" x14ac:dyDescent="0.3">
      <c r="A79" s="227" t="s">
        <v>141</v>
      </c>
      <c r="B79" s="227"/>
      <c r="C79" s="227"/>
    </row>
    <row r="80" spans="1:3" s="58" customFormat="1" x14ac:dyDescent="0.3">
      <c r="A80" s="57" t="s">
        <v>196</v>
      </c>
      <c r="B80" s="84">
        <v>10</v>
      </c>
      <c r="C80" s="4">
        <f>B80+(B80*0.15)</f>
        <v>11.5</v>
      </c>
    </row>
    <row r="81" spans="1:3" x14ac:dyDescent="0.3">
      <c r="A81" s="57" t="s">
        <v>142</v>
      </c>
      <c r="B81" s="4">
        <v>9</v>
      </c>
      <c r="C81" s="4">
        <f>B81+(B81*0.15)</f>
        <v>10.35</v>
      </c>
    </row>
    <row r="82" spans="1:3" x14ac:dyDescent="0.3">
      <c r="A82" s="57" t="s">
        <v>143</v>
      </c>
      <c r="B82" s="4">
        <v>12.5</v>
      </c>
      <c r="C82" s="4">
        <f>B82+(B82*0.15)</f>
        <v>14.375</v>
      </c>
    </row>
    <row r="83" spans="1:3" x14ac:dyDescent="0.3">
      <c r="A83" s="57" t="s">
        <v>144</v>
      </c>
      <c r="B83" s="4">
        <v>22</v>
      </c>
      <c r="C83" s="4">
        <f>B83+(B83*0.15)</f>
        <v>25.3</v>
      </c>
    </row>
    <row r="84" spans="1:3" x14ac:dyDescent="0.3">
      <c r="A84" s="57" t="s">
        <v>145</v>
      </c>
      <c r="B84" s="4">
        <v>35</v>
      </c>
      <c r="C84" s="4">
        <f>B84+(B84*0.15)</f>
        <v>40.25</v>
      </c>
    </row>
    <row r="85" spans="1:3" x14ac:dyDescent="0.3">
      <c r="A85" s="227" t="s">
        <v>312</v>
      </c>
      <c r="B85" s="227"/>
      <c r="C85" s="227"/>
    </row>
    <row r="86" spans="1:3" x14ac:dyDescent="0.3">
      <c r="A86" s="57" t="s">
        <v>86</v>
      </c>
      <c r="B86" s="4">
        <v>190</v>
      </c>
      <c r="C86" s="4">
        <f>B86+(B86*0.15)</f>
        <v>218.5</v>
      </c>
    </row>
    <row r="87" spans="1:3" x14ac:dyDescent="0.3">
      <c r="A87" s="227" t="s">
        <v>343</v>
      </c>
      <c r="B87" s="227"/>
      <c r="C87" s="227"/>
    </row>
    <row r="88" spans="1:3" x14ac:dyDescent="0.3">
      <c r="A88" s="57" t="s">
        <v>349</v>
      </c>
      <c r="B88" s="4">
        <v>125</v>
      </c>
      <c r="C88" s="4">
        <f>B88+(B88*0.15)</f>
        <v>143.75</v>
      </c>
    </row>
  </sheetData>
  <mergeCells count="22">
    <mergeCell ref="A79:C79"/>
    <mergeCell ref="A41:C41"/>
    <mergeCell ref="A68:C68"/>
    <mergeCell ref="A54:C54"/>
    <mergeCell ref="A50:C50"/>
    <mergeCell ref="A48:C48"/>
    <mergeCell ref="A87:C87"/>
    <mergeCell ref="A85:C85"/>
    <mergeCell ref="A45:C45"/>
    <mergeCell ref="A2:C2"/>
    <mergeCell ref="A38:C38"/>
    <mergeCell ref="A27:C27"/>
    <mergeCell ref="A31:C31"/>
    <mergeCell ref="A5:C5"/>
    <mergeCell ref="A11:C11"/>
    <mergeCell ref="A17:C17"/>
    <mergeCell ref="A19:C19"/>
    <mergeCell ref="A24:C24"/>
    <mergeCell ref="A35:C35"/>
    <mergeCell ref="A22:C22"/>
    <mergeCell ref="A9:C9"/>
    <mergeCell ref="A43:C43"/>
  </mergeCells>
  <phoneticPr fontId="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7F7B-A085-4A3F-B16E-9BC8512084F5}">
  <sheetPr>
    <tabColor rgb="FFFFFF00"/>
  </sheetPr>
  <dimension ref="A1:A4"/>
  <sheetViews>
    <sheetView tabSelected="1" workbookViewId="0">
      <selection activeCell="B1" sqref="B1:D1048576"/>
    </sheetView>
  </sheetViews>
  <sheetFormatPr defaultRowHeight="14.4" x14ac:dyDescent="0.3"/>
  <cols>
    <col min="1" max="1" width="36.5546875" customWidth="1"/>
  </cols>
  <sheetData>
    <row r="1" spans="1:1" x14ac:dyDescent="0.3">
      <c r="A1" s="14" t="s">
        <v>0</v>
      </c>
    </row>
    <row r="2" spans="1:1" x14ac:dyDescent="0.3">
      <c r="A2" s="140" t="s">
        <v>8</v>
      </c>
    </row>
    <row r="3" spans="1:1" x14ac:dyDescent="0.3">
      <c r="A3" s="14" t="s">
        <v>47</v>
      </c>
    </row>
    <row r="4" spans="1:1" x14ac:dyDescent="0.3">
      <c r="A4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BOSCH</vt:lpstr>
      <vt:lpstr>CHISELS</vt:lpstr>
      <vt:lpstr>COVINA</vt:lpstr>
      <vt:lpstr>CUMI</vt:lpstr>
      <vt:lpstr>DONGCHENG</vt:lpstr>
      <vt:lpstr>GOLDEN BULLET</vt:lpstr>
      <vt:lpstr>HIKOKI</vt:lpstr>
      <vt:lpstr>HIMAX</vt:lpstr>
      <vt:lpstr>JOJO TOOLS</vt:lpstr>
      <vt:lpstr>JON BHANDARI</vt:lpstr>
      <vt:lpstr>KISAAN KRAFT</vt:lpstr>
      <vt:lpstr>MAKITA</vt:lpstr>
      <vt:lpstr>METSO</vt:lpstr>
      <vt:lpstr>NORTON</vt:lpstr>
      <vt:lpstr>POLYMAK</vt:lpstr>
      <vt:lpstr>POWERMATIC</vt:lpstr>
      <vt:lpstr>RAJ XTREME</vt:lpstr>
      <vt:lpstr>RAINBOW</vt:lpstr>
      <vt:lpstr>STARCKE</vt:lpstr>
      <vt:lpstr>STRONG ALI</vt:lpstr>
      <vt:lpstr>SURIE POLEX</vt:lpstr>
      <vt:lpstr>SWASTIK GOLD</vt:lpstr>
      <vt:lpstr>TUQO</vt:lpstr>
      <vt:lpstr>ULTRAFAST</vt:lpstr>
      <vt:lpstr>YURI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Mustufa Burhan</dc:creator>
  <cp:lastModifiedBy>NOOR AGENCIES</cp:lastModifiedBy>
  <dcterms:created xsi:type="dcterms:W3CDTF">2024-05-25T11:15:08Z</dcterms:created>
  <dcterms:modified xsi:type="dcterms:W3CDTF">2026-07-10T18:57:13Z</dcterms:modified>
</cp:coreProperties>
</file>